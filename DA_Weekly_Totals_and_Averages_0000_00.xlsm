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45" windowWidth="19920" windowHeight="9540" activeTab="7"/>
  </bookViews>
  <sheets>
    <sheet name="Day1" sheetId="1" r:id="rId1"/>
    <sheet name="Day2" sheetId="10" r:id="rId2"/>
    <sheet name="Day3" sheetId="12" r:id="rId3"/>
    <sheet name="Day4" sheetId="13" r:id="rId4"/>
    <sheet name="Day5" sheetId="14" r:id="rId5"/>
    <sheet name="Day6" sheetId="15" r:id="rId6"/>
    <sheet name="Day7" sheetId="16" r:id="rId7"/>
    <sheet name="WeeklyTotals" sheetId="8" r:id="rId8"/>
    <sheet name="CustomSortList" sheetId="17" state="hidden" r:id="rId9"/>
  </sheets>
  <definedNames>
    <definedName name="_xlnm._FilterDatabase" localSheetId="7" hidden="1">WeeklyTotals!$A$3:$AA$3</definedName>
    <definedName name="DateCell" localSheetId="0">'Day1'!$C$2</definedName>
    <definedName name="DateCell" localSheetId="1">'Day2'!$C$2</definedName>
    <definedName name="DateCell" localSheetId="2">'Day3'!$C$2</definedName>
    <definedName name="DateCell" localSheetId="3">'Day4'!$C$2</definedName>
    <definedName name="DateCell" localSheetId="4">'Day5'!$C$2</definedName>
    <definedName name="DateCell" localSheetId="5">'Day6'!$C$2</definedName>
    <definedName name="DateCell" localSheetId="6">'Day7'!$C$2</definedName>
    <definedName name="Driver" localSheetId="0">'Day1'!$B$4</definedName>
    <definedName name="Driver" localSheetId="1">'Day2'!$B$4</definedName>
    <definedName name="Driver" localSheetId="2">'Day3'!$B$4</definedName>
    <definedName name="Driver" localSheetId="3">'Day4'!$B$4</definedName>
    <definedName name="Driver" localSheetId="4">'Day5'!$B$4</definedName>
    <definedName name="Driver" localSheetId="5">'Day6'!$B$4</definedName>
    <definedName name="Driver" localSheetId="6">'Day7'!$B$4</definedName>
    <definedName name="Route" localSheetId="0">'Day1'!$A$4</definedName>
    <definedName name="Route" localSheetId="1">'Day2'!$A$4</definedName>
    <definedName name="Route" localSheetId="2">'Day3'!$A$4</definedName>
    <definedName name="Route" localSheetId="3">'Day4'!$A$4</definedName>
    <definedName name="Route" localSheetId="4">'Day5'!$A$4</definedName>
    <definedName name="Route" localSheetId="5">'Day6'!$A$4</definedName>
    <definedName name="Route" localSheetId="6">'Day7'!$A$4</definedName>
    <definedName name="WeekCell" localSheetId="0">'Day1'!$B$2</definedName>
    <definedName name="YearCell" localSheetId="0">'Day1'!$B$1</definedName>
  </definedNames>
  <calcPr calcId="125725"/>
</workbook>
</file>

<file path=xl/calcChain.xml><?xml version="1.0" encoding="utf-8"?>
<calcChain xmlns="http://schemas.openxmlformats.org/spreadsheetml/2006/main">
  <c r="Z34" i="8"/>
  <c r="W34"/>
  <c r="X34"/>
  <c r="Y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A4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Y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X4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W4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A34"/>
  <c r="B1" i="16"/>
  <c r="B1" i="15"/>
  <c r="B1" i="14"/>
  <c r="B1" i="13"/>
  <c r="B1" i="12"/>
  <c r="B1" i="10"/>
  <c r="B2" i="16"/>
  <c r="B2" i="15"/>
  <c r="B2" i="14"/>
  <c r="B2" i="13"/>
  <c r="B2" i="12"/>
  <c r="B2" i="10"/>
  <c r="V18" i="12"/>
  <c r="U18"/>
  <c r="S18"/>
  <c r="Q18"/>
  <c r="O18"/>
  <c r="M18"/>
  <c r="K18"/>
  <c r="I18"/>
  <c r="G18"/>
  <c r="E18"/>
  <c r="T20" i="16"/>
  <c r="R20"/>
  <c r="P20"/>
  <c r="N20"/>
  <c r="L20"/>
  <c r="J20"/>
  <c r="H20"/>
  <c r="F20"/>
  <c r="D20"/>
  <c r="C20"/>
  <c r="V20"/>
  <c r="U20"/>
  <c r="S20"/>
  <c r="Q20"/>
  <c r="O20"/>
  <c r="M20"/>
  <c r="K20"/>
  <c r="I20"/>
  <c r="G20"/>
  <c r="E20"/>
  <c r="T20" i="15"/>
  <c r="R20"/>
  <c r="P20"/>
  <c r="N20"/>
  <c r="L20"/>
  <c r="J20"/>
  <c r="H20"/>
  <c r="F20"/>
  <c r="D20"/>
  <c r="C20"/>
  <c r="V19"/>
  <c r="U19"/>
  <c r="S19"/>
  <c r="Q19"/>
  <c r="O19"/>
  <c r="M19"/>
  <c r="K19"/>
  <c r="I19"/>
  <c r="G19"/>
  <c r="E19"/>
  <c r="V18"/>
  <c r="U18"/>
  <c r="S18"/>
  <c r="Q18"/>
  <c r="O18"/>
  <c r="M18"/>
  <c r="K18"/>
  <c r="I18"/>
  <c r="G18"/>
  <c r="E18"/>
  <c r="V17"/>
  <c r="U17"/>
  <c r="S17"/>
  <c r="Q17"/>
  <c r="O17"/>
  <c r="M17"/>
  <c r="K17"/>
  <c r="I17"/>
  <c r="G17"/>
  <c r="E17"/>
  <c r="V16"/>
  <c r="U16"/>
  <c r="S16"/>
  <c r="Q16"/>
  <c r="O16"/>
  <c r="M16"/>
  <c r="K16"/>
  <c r="I16"/>
  <c r="G16"/>
  <c r="E16"/>
  <c r="V15"/>
  <c r="U15"/>
  <c r="S15"/>
  <c r="Q15"/>
  <c r="O15"/>
  <c r="M15"/>
  <c r="K15"/>
  <c r="I15"/>
  <c r="G15"/>
  <c r="E15"/>
  <c r="V14"/>
  <c r="U14"/>
  <c r="S14"/>
  <c r="Q14"/>
  <c r="O14"/>
  <c r="M14"/>
  <c r="K14"/>
  <c r="I14"/>
  <c r="G14"/>
  <c r="E14"/>
  <c r="V13"/>
  <c r="U13"/>
  <c r="S13"/>
  <c r="Q13"/>
  <c r="O13"/>
  <c r="M13"/>
  <c r="K13"/>
  <c r="I13"/>
  <c r="G13"/>
  <c r="E13"/>
  <c r="V12"/>
  <c r="U12"/>
  <c r="S12"/>
  <c r="Q12"/>
  <c r="O12"/>
  <c r="M12"/>
  <c r="K12"/>
  <c r="I12"/>
  <c r="G12"/>
  <c r="E12"/>
  <c r="V11"/>
  <c r="U11"/>
  <c r="S11"/>
  <c r="Q11"/>
  <c r="O11"/>
  <c r="M11"/>
  <c r="K11"/>
  <c r="I11"/>
  <c r="G11"/>
  <c r="E11"/>
  <c r="V10"/>
  <c r="U10"/>
  <c r="S10"/>
  <c r="Q10"/>
  <c r="O10"/>
  <c r="M10"/>
  <c r="K10"/>
  <c r="I10"/>
  <c r="G10"/>
  <c r="E10"/>
  <c r="V9"/>
  <c r="U9"/>
  <c r="S9"/>
  <c r="Q9"/>
  <c r="O9"/>
  <c r="M9"/>
  <c r="K9"/>
  <c r="I9"/>
  <c r="G9"/>
  <c r="E9"/>
  <c r="V8"/>
  <c r="U8"/>
  <c r="S8"/>
  <c r="Q8"/>
  <c r="O8"/>
  <c r="M8"/>
  <c r="K8"/>
  <c r="I8"/>
  <c r="G8"/>
  <c r="E8"/>
  <c r="V7"/>
  <c r="U7"/>
  <c r="S7"/>
  <c r="Q7"/>
  <c r="O7"/>
  <c r="M7"/>
  <c r="K7"/>
  <c r="I7"/>
  <c r="G7"/>
  <c r="E7"/>
  <c r="V6"/>
  <c r="U6"/>
  <c r="S6"/>
  <c r="Q6"/>
  <c r="O6"/>
  <c r="M6"/>
  <c r="K6"/>
  <c r="I6"/>
  <c r="G6"/>
  <c r="E6"/>
  <c r="V5"/>
  <c r="V20" s="1"/>
  <c r="U5"/>
  <c r="U20" s="1"/>
  <c r="S5"/>
  <c r="Q5"/>
  <c r="Q20" s="1"/>
  <c r="O5"/>
  <c r="O20" s="1"/>
  <c r="M5"/>
  <c r="M20" s="1"/>
  <c r="K5"/>
  <c r="K20" s="1"/>
  <c r="I5"/>
  <c r="I20" s="1"/>
  <c r="G5"/>
  <c r="G20" s="1"/>
  <c r="E5"/>
  <c r="E20" s="1"/>
  <c r="T20" i="14"/>
  <c r="R20"/>
  <c r="P20"/>
  <c r="N20"/>
  <c r="L20"/>
  <c r="J20"/>
  <c r="H20"/>
  <c r="F20"/>
  <c r="D20"/>
  <c r="C20"/>
  <c r="V19"/>
  <c r="U19"/>
  <c r="S19"/>
  <c r="Q19"/>
  <c r="O19"/>
  <c r="M19"/>
  <c r="K19"/>
  <c r="I19"/>
  <c r="G19"/>
  <c r="E19"/>
  <c r="V18"/>
  <c r="U18"/>
  <c r="S18"/>
  <c r="Q18"/>
  <c r="O18"/>
  <c r="M18"/>
  <c r="K18"/>
  <c r="I18"/>
  <c r="G18"/>
  <c r="E18"/>
  <c r="V17"/>
  <c r="U17"/>
  <c r="S17"/>
  <c r="Q17"/>
  <c r="O17"/>
  <c r="M17"/>
  <c r="K17"/>
  <c r="I17"/>
  <c r="G17"/>
  <c r="E17"/>
  <c r="V16"/>
  <c r="U16"/>
  <c r="S16"/>
  <c r="Q16"/>
  <c r="O16"/>
  <c r="M16"/>
  <c r="K16"/>
  <c r="I16"/>
  <c r="G16"/>
  <c r="E16"/>
  <c r="V15"/>
  <c r="U15"/>
  <c r="S15"/>
  <c r="Q15"/>
  <c r="O15"/>
  <c r="M15"/>
  <c r="K15"/>
  <c r="I15"/>
  <c r="G15"/>
  <c r="E15"/>
  <c r="V14"/>
  <c r="U14"/>
  <c r="S14"/>
  <c r="Q14"/>
  <c r="O14"/>
  <c r="M14"/>
  <c r="K14"/>
  <c r="I14"/>
  <c r="G14"/>
  <c r="E14"/>
  <c r="V13"/>
  <c r="U13"/>
  <c r="S13"/>
  <c r="Q13"/>
  <c r="O13"/>
  <c r="M13"/>
  <c r="K13"/>
  <c r="I13"/>
  <c r="G13"/>
  <c r="E13"/>
  <c r="V12"/>
  <c r="U12"/>
  <c r="S12"/>
  <c r="Q12"/>
  <c r="O12"/>
  <c r="M12"/>
  <c r="K12"/>
  <c r="I12"/>
  <c r="G12"/>
  <c r="E12"/>
  <c r="V11"/>
  <c r="U11"/>
  <c r="S11"/>
  <c r="Q11"/>
  <c r="O11"/>
  <c r="M11"/>
  <c r="K11"/>
  <c r="I11"/>
  <c r="G11"/>
  <c r="E11"/>
  <c r="V10"/>
  <c r="U10"/>
  <c r="S10"/>
  <c r="Q10"/>
  <c r="O10"/>
  <c r="M10"/>
  <c r="K10"/>
  <c r="I10"/>
  <c r="G10"/>
  <c r="E10"/>
  <c r="V9"/>
  <c r="U9"/>
  <c r="S9"/>
  <c r="Q9"/>
  <c r="O9"/>
  <c r="M9"/>
  <c r="K9"/>
  <c r="I9"/>
  <c r="G9"/>
  <c r="E9"/>
  <c r="V8"/>
  <c r="U8"/>
  <c r="S8"/>
  <c r="Q8"/>
  <c r="O8"/>
  <c r="M8"/>
  <c r="K8"/>
  <c r="I8"/>
  <c r="G8"/>
  <c r="E8"/>
  <c r="V7"/>
  <c r="U7"/>
  <c r="S7"/>
  <c r="Q7"/>
  <c r="O7"/>
  <c r="M7"/>
  <c r="K7"/>
  <c r="I7"/>
  <c r="G7"/>
  <c r="E7"/>
  <c r="V6"/>
  <c r="U6"/>
  <c r="S6"/>
  <c r="Q6"/>
  <c r="O6"/>
  <c r="M6"/>
  <c r="K6"/>
  <c r="I6"/>
  <c r="G6"/>
  <c r="E6"/>
  <c r="V5"/>
  <c r="V20" s="1"/>
  <c r="U5"/>
  <c r="U20" s="1"/>
  <c r="S5"/>
  <c r="Q5"/>
  <c r="O5"/>
  <c r="O20" s="1"/>
  <c r="M5"/>
  <c r="M20" s="1"/>
  <c r="K5"/>
  <c r="I5"/>
  <c r="G5"/>
  <c r="G20" s="1"/>
  <c r="E5"/>
  <c r="E20" s="1"/>
  <c r="T20" i="13"/>
  <c r="R20"/>
  <c r="P20"/>
  <c r="N20"/>
  <c r="L20"/>
  <c r="J20"/>
  <c r="H20"/>
  <c r="F20"/>
  <c r="D20"/>
  <c r="C20"/>
  <c r="V19"/>
  <c r="U19"/>
  <c r="S19"/>
  <c r="Q19"/>
  <c r="O19"/>
  <c r="M19"/>
  <c r="K19"/>
  <c r="I19"/>
  <c r="G19"/>
  <c r="E19"/>
  <c r="V18"/>
  <c r="U18"/>
  <c r="S18"/>
  <c r="Q18"/>
  <c r="O18"/>
  <c r="M18"/>
  <c r="K18"/>
  <c r="I18"/>
  <c r="G18"/>
  <c r="E18"/>
  <c r="V17"/>
  <c r="U17"/>
  <c r="S17"/>
  <c r="Q17"/>
  <c r="O17"/>
  <c r="M17"/>
  <c r="K17"/>
  <c r="I17"/>
  <c r="G17"/>
  <c r="E17"/>
  <c r="V16"/>
  <c r="U16"/>
  <c r="S16"/>
  <c r="Q16"/>
  <c r="O16"/>
  <c r="M16"/>
  <c r="K16"/>
  <c r="I16"/>
  <c r="G16"/>
  <c r="E16"/>
  <c r="V15"/>
  <c r="U15"/>
  <c r="S15"/>
  <c r="Q15"/>
  <c r="O15"/>
  <c r="M15"/>
  <c r="K15"/>
  <c r="I15"/>
  <c r="G15"/>
  <c r="E15"/>
  <c r="V14"/>
  <c r="U14"/>
  <c r="S14"/>
  <c r="Q14"/>
  <c r="O14"/>
  <c r="M14"/>
  <c r="K14"/>
  <c r="I14"/>
  <c r="G14"/>
  <c r="E14"/>
  <c r="V13"/>
  <c r="U13"/>
  <c r="S13"/>
  <c r="Q13"/>
  <c r="O13"/>
  <c r="M13"/>
  <c r="K13"/>
  <c r="I13"/>
  <c r="G13"/>
  <c r="E13"/>
  <c r="V12"/>
  <c r="U12"/>
  <c r="S12"/>
  <c r="Q12"/>
  <c r="O12"/>
  <c r="M12"/>
  <c r="K12"/>
  <c r="I12"/>
  <c r="G12"/>
  <c r="E12"/>
  <c r="V11"/>
  <c r="U11"/>
  <c r="S11"/>
  <c r="Q11"/>
  <c r="O11"/>
  <c r="M11"/>
  <c r="K11"/>
  <c r="I11"/>
  <c r="G11"/>
  <c r="E11"/>
  <c r="V10"/>
  <c r="U10"/>
  <c r="S10"/>
  <c r="Q10"/>
  <c r="O10"/>
  <c r="M10"/>
  <c r="K10"/>
  <c r="I10"/>
  <c r="G10"/>
  <c r="E10"/>
  <c r="V9"/>
  <c r="U9"/>
  <c r="S9"/>
  <c r="Q9"/>
  <c r="O9"/>
  <c r="M9"/>
  <c r="K9"/>
  <c r="I9"/>
  <c r="G9"/>
  <c r="E9"/>
  <c r="V8"/>
  <c r="U8"/>
  <c r="S8"/>
  <c r="Q8"/>
  <c r="O8"/>
  <c r="M8"/>
  <c r="K8"/>
  <c r="I8"/>
  <c r="G8"/>
  <c r="E8"/>
  <c r="V7"/>
  <c r="U7"/>
  <c r="S7"/>
  <c r="Q7"/>
  <c r="O7"/>
  <c r="M7"/>
  <c r="K7"/>
  <c r="I7"/>
  <c r="G7"/>
  <c r="E7"/>
  <c r="V6"/>
  <c r="U6"/>
  <c r="S6"/>
  <c r="Q6"/>
  <c r="O6"/>
  <c r="M6"/>
  <c r="K6"/>
  <c r="I6"/>
  <c r="G6"/>
  <c r="E6"/>
  <c r="V5"/>
  <c r="V20" s="1"/>
  <c r="U5"/>
  <c r="S5"/>
  <c r="Q5"/>
  <c r="O5"/>
  <c r="O20" s="1"/>
  <c r="M5"/>
  <c r="K5"/>
  <c r="I5"/>
  <c r="G5"/>
  <c r="G20" s="1"/>
  <c r="E5"/>
  <c r="T21" i="12"/>
  <c r="R21"/>
  <c r="P21"/>
  <c r="N21"/>
  <c r="L21"/>
  <c r="J21"/>
  <c r="H21"/>
  <c r="F21"/>
  <c r="D21"/>
  <c r="C21"/>
  <c r="V20"/>
  <c r="U20"/>
  <c r="S20"/>
  <c r="Q20"/>
  <c r="O20"/>
  <c r="M20"/>
  <c r="K20"/>
  <c r="I20"/>
  <c r="G20"/>
  <c r="E20"/>
  <c r="V19"/>
  <c r="U19"/>
  <c r="S19"/>
  <c r="Q19"/>
  <c r="O19"/>
  <c r="M19"/>
  <c r="K19"/>
  <c r="I19"/>
  <c r="G19"/>
  <c r="E19"/>
  <c r="V17"/>
  <c r="U17"/>
  <c r="S17"/>
  <c r="Q17"/>
  <c r="O17"/>
  <c r="M17"/>
  <c r="K17"/>
  <c r="I17"/>
  <c r="G17"/>
  <c r="E17"/>
  <c r="V16"/>
  <c r="U16"/>
  <c r="S16"/>
  <c r="Q16"/>
  <c r="O16"/>
  <c r="M16"/>
  <c r="K16"/>
  <c r="I16"/>
  <c r="G16"/>
  <c r="E16"/>
  <c r="V15"/>
  <c r="U15"/>
  <c r="S15"/>
  <c r="Q15"/>
  <c r="O15"/>
  <c r="M15"/>
  <c r="K15"/>
  <c r="I15"/>
  <c r="G15"/>
  <c r="E15"/>
  <c r="V14"/>
  <c r="U14"/>
  <c r="S14"/>
  <c r="Q14"/>
  <c r="O14"/>
  <c r="M14"/>
  <c r="K14"/>
  <c r="I14"/>
  <c r="G14"/>
  <c r="E14"/>
  <c r="V13"/>
  <c r="U13"/>
  <c r="S13"/>
  <c r="Q13"/>
  <c r="O13"/>
  <c r="M13"/>
  <c r="K13"/>
  <c r="I13"/>
  <c r="G13"/>
  <c r="E13"/>
  <c r="V12"/>
  <c r="U12"/>
  <c r="S12"/>
  <c r="Q12"/>
  <c r="O12"/>
  <c r="M12"/>
  <c r="K12"/>
  <c r="I12"/>
  <c r="G12"/>
  <c r="E12"/>
  <c r="V11"/>
  <c r="U11"/>
  <c r="S11"/>
  <c r="Q11"/>
  <c r="O11"/>
  <c r="M11"/>
  <c r="K11"/>
  <c r="I11"/>
  <c r="G11"/>
  <c r="E11"/>
  <c r="V10"/>
  <c r="U10"/>
  <c r="S10"/>
  <c r="Q10"/>
  <c r="O10"/>
  <c r="M10"/>
  <c r="K10"/>
  <c r="I10"/>
  <c r="G10"/>
  <c r="E10"/>
  <c r="V9"/>
  <c r="U9"/>
  <c r="S9"/>
  <c r="Q9"/>
  <c r="O9"/>
  <c r="M9"/>
  <c r="K9"/>
  <c r="I9"/>
  <c r="G9"/>
  <c r="E9"/>
  <c r="V8"/>
  <c r="U8"/>
  <c r="S8"/>
  <c r="Q8"/>
  <c r="O8"/>
  <c r="M8"/>
  <c r="K8"/>
  <c r="I8"/>
  <c r="G8"/>
  <c r="E8"/>
  <c r="V7"/>
  <c r="U7"/>
  <c r="S7"/>
  <c r="Q7"/>
  <c r="O7"/>
  <c r="M7"/>
  <c r="K7"/>
  <c r="I7"/>
  <c r="G7"/>
  <c r="E7"/>
  <c r="V6"/>
  <c r="U6"/>
  <c r="S6"/>
  <c r="Q6"/>
  <c r="O6"/>
  <c r="M6"/>
  <c r="K6"/>
  <c r="I6"/>
  <c r="G6"/>
  <c r="E6"/>
  <c r="V5"/>
  <c r="V21" s="1"/>
  <c r="U5"/>
  <c r="U21" s="1"/>
  <c r="S5"/>
  <c r="Q5"/>
  <c r="O5"/>
  <c r="O21" s="1"/>
  <c r="M5"/>
  <c r="M21" s="1"/>
  <c r="K5"/>
  <c r="I5"/>
  <c r="G5"/>
  <c r="G21" s="1"/>
  <c r="E5"/>
  <c r="E21" s="1"/>
  <c r="T19" i="10"/>
  <c r="R19"/>
  <c r="P19"/>
  <c r="N19"/>
  <c r="L19"/>
  <c r="J19"/>
  <c r="H19"/>
  <c r="F19"/>
  <c r="D19"/>
  <c r="C19"/>
  <c r="V18"/>
  <c r="U18"/>
  <c r="S18"/>
  <c r="Q18"/>
  <c r="O18"/>
  <c r="M18"/>
  <c r="K18"/>
  <c r="I18"/>
  <c r="G18"/>
  <c r="E18"/>
  <c r="V17"/>
  <c r="U17"/>
  <c r="S17"/>
  <c r="Q17"/>
  <c r="O17"/>
  <c r="M17"/>
  <c r="K17"/>
  <c r="I17"/>
  <c r="G17"/>
  <c r="E17"/>
  <c r="V16"/>
  <c r="U16"/>
  <c r="S16"/>
  <c r="Q16"/>
  <c r="O16"/>
  <c r="M16"/>
  <c r="K16"/>
  <c r="I16"/>
  <c r="G16"/>
  <c r="E16"/>
  <c r="V15"/>
  <c r="U15"/>
  <c r="S15"/>
  <c r="Q15"/>
  <c r="O15"/>
  <c r="M15"/>
  <c r="K15"/>
  <c r="I15"/>
  <c r="G15"/>
  <c r="E15"/>
  <c r="V14"/>
  <c r="U14"/>
  <c r="S14"/>
  <c r="Q14"/>
  <c r="O14"/>
  <c r="M14"/>
  <c r="K14"/>
  <c r="I14"/>
  <c r="G14"/>
  <c r="E14"/>
  <c r="V13"/>
  <c r="U13"/>
  <c r="S13"/>
  <c r="Q13"/>
  <c r="O13"/>
  <c r="M13"/>
  <c r="K13"/>
  <c r="I13"/>
  <c r="G13"/>
  <c r="E13"/>
  <c r="V12"/>
  <c r="U12"/>
  <c r="S12"/>
  <c r="Q12"/>
  <c r="O12"/>
  <c r="M12"/>
  <c r="K12"/>
  <c r="I12"/>
  <c r="G12"/>
  <c r="E12"/>
  <c r="V11"/>
  <c r="U11"/>
  <c r="S11"/>
  <c r="Q11"/>
  <c r="O11"/>
  <c r="M11"/>
  <c r="K11"/>
  <c r="I11"/>
  <c r="G11"/>
  <c r="E11"/>
  <c r="V10"/>
  <c r="U10"/>
  <c r="S10"/>
  <c r="Q10"/>
  <c r="O10"/>
  <c r="M10"/>
  <c r="K10"/>
  <c r="I10"/>
  <c r="G10"/>
  <c r="E10"/>
  <c r="V9"/>
  <c r="U9"/>
  <c r="S9"/>
  <c r="Q9"/>
  <c r="O9"/>
  <c r="M9"/>
  <c r="K9"/>
  <c r="I9"/>
  <c r="G9"/>
  <c r="E9"/>
  <c r="V8"/>
  <c r="U8"/>
  <c r="S8"/>
  <c r="Q8"/>
  <c r="O8"/>
  <c r="M8"/>
  <c r="K8"/>
  <c r="I8"/>
  <c r="G8"/>
  <c r="E8"/>
  <c r="V7"/>
  <c r="U7"/>
  <c r="S7"/>
  <c r="Q7"/>
  <c r="O7"/>
  <c r="M7"/>
  <c r="K7"/>
  <c r="I7"/>
  <c r="G7"/>
  <c r="E7"/>
  <c r="V6"/>
  <c r="U6"/>
  <c r="S6"/>
  <c r="Q6"/>
  <c r="O6"/>
  <c r="M6"/>
  <c r="K6"/>
  <c r="I6"/>
  <c r="G6"/>
  <c r="E6"/>
  <c r="V5"/>
  <c r="U5"/>
  <c r="S5"/>
  <c r="S19" s="1"/>
  <c r="Q5"/>
  <c r="Q19" s="1"/>
  <c r="O5"/>
  <c r="M5"/>
  <c r="K5"/>
  <c r="K19" s="1"/>
  <c r="I5"/>
  <c r="I19" s="1"/>
  <c r="G5"/>
  <c r="E5"/>
  <c r="T20" i="1"/>
  <c r="R20"/>
  <c r="P20"/>
  <c r="N20"/>
  <c r="L20"/>
  <c r="J20"/>
  <c r="H20"/>
  <c r="F20"/>
  <c r="C20"/>
  <c r="D20"/>
  <c r="U19"/>
  <c r="S19"/>
  <c r="Q19"/>
  <c r="O19"/>
  <c r="M19"/>
  <c r="K19"/>
  <c r="I19"/>
  <c r="G19"/>
  <c r="E19"/>
  <c r="U18"/>
  <c r="S18"/>
  <c r="Q18"/>
  <c r="O18"/>
  <c r="M18"/>
  <c r="K18"/>
  <c r="I18"/>
  <c r="G18"/>
  <c r="E18"/>
  <c r="U17"/>
  <c r="S17"/>
  <c r="Q17"/>
  <c r="O17"/>
  <c r="M17"/>
  <c r="K17"/>
  <c r="I17"/>
  <c r="G17"/>
  <c r="E17"/>
  <c r="U16"/>
  <c r="S16"/>
  <c r="Q16"/>
  <c r="O16"/>
  <c r="M16"/>
  <c r="K16"/>
  <c r="I16"/>
  <c r="G16"/>
  <c r="E16"/>
  <c r="U15"/>
  <c r="S15"/>
  <c r="Q15"/>
  <c r="O15"/>
  <c r="M15"/>
  <c r="K15"/>
  <c r="I15"/>
  <c r="G15"/>
  <c r="E15"/>
  <c r="U14"/>
  <c r="S14"/>
  <c r="Q14"/>
  <c r="O14"/>
  <c r="M14"/>
  <c r="K14"/>
  <c r="I14"/>
  <c r="G14"/>
  <c r="E14"/>
  <c r="U13"/>
  <c r="S13"/>
  <c r="Q13"/>
  <c r="O13"/>
  <c r="M13"/>
  <c r="K13"/>
  <c r="I13"/>
  <c r="G13"/>
  <c r="E13"/>
  <c r="U12"/>
  <c r="S12"/>
  <c r="Q12"/>
  <c r="O12"/>
  <c r="M12"/>
  <c r="K12"/>
  <c r="I12"/>
  <c r="G12"/>
  <c r="E12"/>
  <c r="U11"/>
  <c r="S11"/>
  <c r="Q11"/>
  <c r="O11"/>
  <c r="M11"/>
  <c r="K11"/>
  <c r="I11"/>
  <c r="G11"/>
  <c r="E11"/>
  <c r="U10"/>
  <c r="S10"/>
  <c r="Q10"/>
  <c r="O10"/>
  <c r="M10"/>
  <c r="K10"/>
  <c r="I10"/>
  <c r="G10"/>
  <c r="E10"/>
  <c r="U9"/>
  <c r="S9"/>
  <c r="Q9"/>
  <c r="O9"/>
  <c r="M9"/>
  <c r="K9"/>
  <c r="I9"/>
  <c r="G9"/>
  <c r="E9"/>
  <c r="U8"/>
  <c r="S8"/>
  <c r="Q8"/>
  <c r="O8"/>
  <c r="M8"/>
  <c r="K8"/>
  <c r="I8"/>
  <c r="G8"/>
  <c r="E8"/>
  <c r="U7"/>
  <c r="S7"/>
  <c r="Q7"/>
  <c r="O7"/>
  <c r="M7"/>
  <c r="K7"/>
  <c r="I7"/>
  <c r="G7"/>
  <c r="E7"/>
  <c r="U6"/>
  <c r="S6"/>
  <c r="Q6"/>
  <c r="O6"/>
  <c r="M6"/>
  <c r="K6"/>
  <c r="I6"/>
  <c r="G6"/>
  <c r="E6"/>
  <c r="U5"/>
  <c r="S5"/>
  <c r="Q5"/>
  <c r="O5"/>
  <c r="M5"/>
  <c r="K5"/>
  <c r="I5"/>
  <c r="G5"/>
  <c r="E5"/>
  <c r="V6"/>
  <c r="W6" s="1"/>
  <c r="V7"/>
  <c r="V8"/>
  <c r="W8" s="1"/>
  <c r="V9"/>
  <c r="V10"/>
  <c r="W10" s="1"/>
  <c r="V11"/>
  <c r="V12"/>
  <c r="W12" s="1"/>
  <c r="V13"/>
  <c r="V14"/>
  <c r="W14" s="1"/>
  <c r="V15"/>
  <c r="V16"/>
  <c r="W16" s="1"/>
  <c r="V17"/>
  <c r="V18"/>
  <c r="W18" s="1"/>
  <c r="V19"/>
  <c r="V5"/>
  <c r="W5" s="1"/>
  <c r="C2"/>
  <c r="C2" i="15" s="1"/>
  <c r="K20" i="1" l="1"/>
  <c r="S20"/>
  <c r="W7" i="14"/>
  <c r="W9"/>
  <c r="W11"/>
  <c r="W13"/>
  <c r="W15"/>
  <c r="W17"/>
  <c r="W19"/>
  <c r="W7" i="15"/>
  <c r="W9"/>
  <c r="W11"/>
  <c r="W13"/>
  <c r="W15"/>
  <c r="W17"/>
  <c r="W19"/>
  <c r="G19" i="10"/>
  <c r="O19"/>
  <c r="V19"/>
  <c r="K21" i="12"/>
  <c r="S21"/>
  <c r="K20" i="13"/>
  <c r="S20"/>
  <c r="K20" i="14"/>
  <c r="S20"/>
  <c r="S20" i="15"/>
  <c r="G20" i="1"/>
  <c r="O20"/>
  <c r="E19" i="10"/>
  <c r="M19"/>
  <c r="U19"/>
  <c r="I21" i="12"/>
  <c r="Q21"/>
  <c r="W8" i="13"/>
  <c r="W10"/>
  <c r="W12"/>
  <c r="W14"/>
  <c r="W16"/>
  <c r="W18"/>
  <c r="I20" i="14"/>
  <c r="Q20"/>
  <c r="W18" i="12"/>
  <c r="E20" i="13"/>
  <c r="I20"/>
  <c r="M20"/>
  <c r="Q20"/>
  <c r="U20"/>
  <c r="W19" i="1"/>
  <c r="W17"/>
  <c r="W15"/>
  <c r="W13"/>
  <c r="W11"/>
  <c r="W9"/>
  <c r="W7"/>
  <c r="E20"/>
  <c r="I20"/>
  <c r="M20"/>
  <c r="Q20"/>
  <c r="U20"/>
  <c r="W6" i="10"/>
  <c r="W10"/>
  <c r="W14"/>
  <c r="W18"/>
  <c r="W7" i="13"/>
  <c r="W9"/>
  <c r="W11"/>
  <c r="W13"/>
  <c r="W15"/>
  <c r="W17"/>
  <c r="W19"/>
  <c r="V20" i="1"/>
  <c r="W16" i="10"/>
  <c r="W7"/>
  <c r="W9"/>
  <c r="W11"/>
  <c r="W13"/>
  <c r="W15"/>
  <c r="W17"/>
  <c r="W7" i="12"/>
  <c r="W9"/>
  <c r="W11"/>
  <c r="W13"/>
  <c r="W15"/>
  <c r="W17"/>
  <c r="W20"/>
  <c r="W5" i="13"/>
  <c r="W6" i="14"/>
  <c r="W8"/>
  <c r="W10"/>
  <c r="W12"/>
  <c r="W14"/>
  <c r="W16"/>
  <c r="W18"/>
  <c r="W6" i="15"/>
  <c r="W8"/>
  <c r="W10"/>
  <c r="W12"/>
  <c r="W14"/>
  <c r="W16"/>
  <c r="W18"/>
  <c r="W8" i="10"/>
  <c r="W12"/>
  <c r="W6" i="12"/>
  <c r="W8"/>
  <c r="W10"/>
  <c r="W12"/>
  <c r="W14"/>
  <c r="W16"/>
  <c r="W19"/>
  <c r="W6" i="13"/>
  <c r="C2" i="12"/>
  <c r="C2" i="14"/>
  <c r="C2" i="16"/>
  <c r="C2" i="10"/>
  <c r="C2" i="13"/>
  <c r="W5" i="15"/>
  <c r="W5" i="14"/>
  <c r="W5" i="12"/>
  <c r="W5" i="10"/>
</calcChain>
</file>

<file path=xl/sharedStrings.xml><?xml version="1.0" encoding="utf-8"?>
<sst xmlns="http://schemas.openxmlformats.org/spreadsheetml/2006/main" count="548" uniqueCount="114">
  <si>
    <t>Driver</t>
  </si>
  <si>
    <t>Route</t>
  </si>
  <si>
    <t>1st Hour</t>
  </si>
  <si>
    <t>Pkgs/Hr</t>
  </si>
  <si>
    <t>2nd Hour</t>
  </si>
  <si>
    <t>3rd Hour</t>
  </si>
  <si>
    <t>4th Hour</t>
  </si>
  <si>
    <t>5th Hour</t>
  </si>
  <si>
    <t>6th Hour</t>
  </si>
  <si>
    <t>Year</t>
  </si>
  <si>
    <t>Date</t>
  </si>
  <si>
    <t>Week</t>
  </si>
  <si>
    <t>7th Hour</t>
  </si>
  <si>
    <t>8th Hour</t>
  </si>
  <si>
    <t>9th Hour</t>
  </si>
  <si>
    <t>Max Delivered</t>
  </si>
  <si>
    <t>Max Hour</t>
  </si>
  <si>
    <t>AG11</t>
  </si>
  <si>
    <t>AG5</t>
  </si>
  <si>
    <t>AG10</t>
  </si>
  <si>
    <t>AG15</t>
  </si>
  <si>
    <t>AG12</t>
  </si>
  <si>
    <t>AG6</t>
  </si>
  <si>
    <t>AG8</t>
  </si>
  <si>
    <t>AG13</t>
  </si>
  <si>
    <t>AG9</t>
  </si>
  <si>
    <t>AG4</t>
  </si>
  <si>
    <t>AG2</t>
  </si>
  <si>
    <t>AG7</t>
  </si>
  <si>
    <t>AG1</t>
  </si>
  <si>
    <t>AG14</t>
  </si>
  <si>
    <t>AG3</t>
  </si>
  <si>
    <t>Pkgs Assinged</t>
  </si>
  <si>
    <t>AG16</t>
  </si>
  <si>
    <t>AG30</t>
  </si>
  <si>
    <t>AG28</t>
  </si>
  <si>
    <t>AG18</t>
  </si>
  <si>
    <t>AG27</t>
  </si>
  <si>
    <t>AG22</t>
  </si>
  <si>
    <t>AG21</t>
  </si>
  <si>
    <t>AG17</t>
  </si>
  <si>
    <t>AG25</t>
  </si>
  <si>
    <t>AG20</t>
  </si>
  <si>
    <t>AG24</t>
  </si>
  <si>
    <t>AG26</t>
  </si>
  <si>
    <t>AG23</t>
  </si>
  <si>
    <t>AG29</t>
  </si>
  <si>
    <t>AG19</t>
  </si>
  <si>
    <t>NoName Guy</t>
  </si>
  <si>
    <t>NoName Girl</t>
  </si>
  <si>
    <t>CanadaPost Girl</t>
  </si>
  <si>
    <t>FedEx Guy</t>
  </si>
  <si>
    <t>UPS Girl</t>
  </si>
  <si>
    <t>FedEx Girl</t>
  </si>
  <si>
    <t>Purolator Girl</t>
  </si>
  <si>
    <t>Jane Doe</t>
  </si>
  <si>
    <t>Lucky Guy</t>
  </si>
  <si>
    <t>Lucky Girl</t>
  </si>
  <si>
    <t>UPS Guy</t>
  </si>
  <si>
    <t>John Doe</t>
  </si>
  <si>
    <t>Purolator Guy</t>
  </si>
  <si>
    <t>CanadaPost Guy</t>
  </si>
  <si>
    <t>Name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</si>
  <si>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</si>
  <si>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</si>
  <si>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</si>
  <si>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</si>
  <si>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</si>
  <si>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</si>
  <si>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</si>
  <si>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</si>
  <si>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</si>
  <si>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4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</si>
  <si>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4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</si>
  <si>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4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</si>
  <si>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5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</si>
  <si>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5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</si>
  <si>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5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</si>
  <si>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6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</si>
  <si>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6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</si>
  <si>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6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</si>
  <si>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7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</si>
  <si>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7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</si>
  <si>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7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</si>
  <si>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T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</si>
  <si>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</si>
  <si>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T</t>
    </r>
  </si>
  <si>
    <t>Totals &amp; Averages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</si>
  <si>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T</t>
    </r>
  </si>
  <si>
    <t>Day 1
April 29 (Sun)</t>
  </si>
  <si>
    <t>Day 2
April 30 (Mon)</t>
  </si>
  <si>
    <t>Day 3
May 1 (Tue)</t>
  </si>
  <si>
    <t>Day 4
May 2 (Wed)</t>
  </si>
  <si>
    <t>Day 5
May 3 (Thu)</t>
  </si>
  <si>
    <t>Day 6
May 4 (Fri)</t>
  </si>
  <si>
    <t>Day 7
May 5 (Sat)</t>
  </si>
  <si>
    <t>Statutory Holiday</t>
  </si>
  <si>
    <t>Rank</t>
  </si>
  <si>
    <t>Maple Leaf</t>
  </si>
  <si>
    <t>Peter Parker</t>
  </si>
  <si>
    <t>Blue Jays</t>
  </si>
  <si>
    <t>Toronto FC</t>
  </si>
  <si>
    <t>PrettyGood Programmer</t>
  </si>
  <si>
    <t>Super User</t>
  </si>
  <si>
    <t>Clark Kent</t>
  </si>
  <si>
    <t>Remax Realtor</t>
  </si>
  <si>
    <t>Amazon Guy</t>
  </si>
  <si>
    <t>Amazon Girl</t>
  </si>
  <si>
    <t>Excel Guru</t>
  </si>
  <si>
    <t>PowerPoint Master</t>
  </si>
  <si>
    <t>Toyota Dealer</t>
  </si>
  <si>
    <t>VBA Newbie</t>
  </si>
  <si>
    <t>GoTo Guy</t>
  </si>
  <si>
    <t>JavaScript Learner</t>
  </si>
</sst>
</file>

<file path=xl/styles.xml><?xml version="1.0" encoding="utf-8"?>
<styleSheet xmlns="http://schemas.openxmlformats.org/spreadsheetml/2006/main">
  <numFmts count="1">
    <numFmt numFmtId="164" formatCode="mmmm\ d\ \(ddd\)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double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uble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NumberFormat="1" applyAlignment="1">
      <alignment horizontal="center"/>
    </xf>
    <xf numFmtId="0" fontId="1" fillId="0" borderId="1" xfId="0" applyFont="1" applyBorder="1"/>
    <xf numFmtId="164" fontId="0" fillId="0" borderId="0" xfId="0" quotePrefix="1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4" borderId="0" xfId="0" applyFill="1" applyAlignment="1">
      <alignment horizontal="centerContinuous"/>
    </xf>
    <xf numFmtId="0" fontId="0" fillId="0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2" xfId="0" applyFill="1" applyBorder="1"/>
    <xf numFmtId="0" fontId="0" fillId="0" borderId="4" xfId="0" applyFill="1" applyBorder="1"/>
    <xf numFmtId="0" fontId="1" fillId="0" borderId="0" xfId="0" applyFont="1" applyFill="1"/>
    <xf numFmtId="2" fontId="1" fillId="0" borderId="0" xfId="0" applyNumberFormat="1" applyFont="1" applyFill="1"/>
    <xf numFmtId="0" fontId="1" fillId="0" borderId="1" xfId="0" applyFont="1" applyFill="1" applyBorder="1"/>
    <xf numFmtId="0" fontId="1" fillId="0" borderId="3" xfId="0" applyFont="1" applyFill="1" applyBorder="1"/>
    <xf numFmtId="0" fontId="1" fillId="0" borderId="5" xfId="0" applyFont="1" applyFill="1" applyBorder="1"/>
    <xf numFmtId="2" fontId="1" fillId="0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20"/>
  <sheetViews>
    <sheetView zoomScale="115" zoomScaleNormal="115" workbookViewId="0">
      <pane xSplit="3" ySplit="4" topLeftCell="D5" activePane="bottomRight" state="frozen"/>
      <selection activeCell="D5" sqref="D5"/>
      <selection pane="topRight" activeCell="D5" sqref="D5"/>
      <selection pane="bottomLeft" activeCell="D5" sqref="D5"/>
      <selection pane="bottomRight"/>
    </sheetView>
  </sheetViews>
  <sheetFormatPr defaultRowHeight="15"/>
  <cols>
    <col min="2" max="2" width="17.28515625" bestFit="1" customWidth="1"/>
    <col min="3" max="3" width="17.28515625" customWidth="1"/>
    <col min="4" max="5" width="9.140625" customWidth="1"/>
  </cols>
  <sheetData>
    <row r="1" spans="1:23">
      <c r="A1" s="1" t="s">
        <v>9</v>
      </c>
      <c r="B1" s="1">
        <v>2018</v>
      </c>
      <c r="C1" s="1" t="s">
        <v>10</v>
      </c>
    </row>
    <row r="2" spans="1:23">
      <c r="A2" s="1" t="s">
        <v>11</v>
      </c>
      <c r="B2" s="1">
        <v>18</v>
      </c>
      <c r="C2" s="5">
        <f>DATE(B1,1,1)-WEEKDAY(DATE(B1,1,1),1)+(B2-1)*7+1</f>
        <v>43219</v>
      </c>
    </row>
    <row r="3" spans="1:23">
      <c r="A3" s="1"/>
    </row>
    <row r="4" spans="1:23">
      <c r="A4" s="1" t="s">
        <v>1</v>
      </c>
      <c r="B4" s="1" t="s">
        <v>0</v>
      </c>
      <c r="C4" s="1" t="s">
        <v>32</v>
      </c>
      <c r="D4" s="1" t="s">
        <v>2</v>
      </c>
      <c r="E4" s="1" t="s">
        <v>3</v>
      </c>
      <c r="F4" s="1" t="s">
        <v>4</v>
      </c>
      <c r="G4" s="1" t="s">
        <v>3</v>
      </c>
      <c r="H4" s="1" t="s">
        <v>5</v>
      </c>
      <c r="I4" s="1" t="s">
        <v>3</v>
      </c>
      <c r="J4" s="1" t="s">
        <v>6</v>
      </c>
      <c r="K4" s="1" t="s">
        <v>3</v>
      </c>
      <c r="L4" s="1" t="s">
        <v>7</v>
      </c>
      <c r="M4" s="1" t="s">
        <v>3</v>
      </c>
      <c r="N4" s="1" t="s">
        <v>8</v>
      </c>
      <c r="O4" s="1" t="s">
        <v>3</v>
      </c>
      <c r="P4" s="1" t="s">
        <v>12</v>
      </c>
      <c r="Q4" s="1" t="s">
        <v>3</v>
      </c>
      <c r="R4" s="1" t="s">
        <v>13</v>
      </c>
      <c r="S4" s="1" t="s">
        <v>3</v>
      </c>
      <c r="T4" s="1" t="s">
        <v>14</v>
      </c>
      <c r="U4" s="1" t="s">
        <v>3</v>
      </c>
      <c r="V4" s="1" t="s">
        <v>15</v>
      </c>
      <c r="W4" s="1" t="s">
        <v>16</v>
      </c>
    </row>
    <row r="5" spans="1:23">
      <c r="A5" t="s">
        <v>17</v>
      </c>
      <c r="B5" t="s">
        <v>106</v>
      </c>
      <c r="C5">
        <v>103</v>
      </c>
      <c r="D5">
        <v>8</v>
      </c>
      <c r="E5">
        <f>D5</f>
        <v>8</v>
      </c>
      <c r="F5">
        <v>15</v>
      </c>
      <c r="G5">
        <f>F5-D5</f>
        <v>7</v>
      </c>
      <c r="H5">
        <v>29</v>
      </c>
      <c r="I5">
        <f>H5-F5</f>
        <v>14</v>
      </c>
      <c r="J5">
        <v>35</v>
      </c>
      <c r="K5">
        <f>J5-H5</f>
        <v>6</v>
      </c>
      <c r="L5" s="2">
        <v>53</v>
      </c>
      <c r="M5">
        <f>L5-J5</f>
        <v>18</v>
      </c>
      <c r="N5" s="2">
        <v>68</v>
      </c>
      <c r="O5">
        <f>N5-L5</f>
        <v>15</v>
      </c>
      <c r="P5" s="2">
        <v>82</v>
      </c>
      <c r="Q5">
        <f>P5-N5</f>
        <v>14</v>
      </c>
      <c r="R5" s="2">
        <v>101</v>
      </c>
      <c r="S5">
        <f>R5-P5</f>
        <v>19</v>
      </c>
      <c r="T5" s="2">
        <v>103</v>
      </c>
      <c r="U5">
        <f>T5-R5</f>
        <v>2</v>
      </c>
      <c r="V5">
        <f>MAX($D5,$F5,$H5,$J5,$L5,$N5,$P5,$R5,$T5)</f>
        <v>103</v>
      </c>
      <c r="W5" s="3" t="str">
        <f>LEFT(INDEX($D$4:$U$4,MATCH($V5,$D5:$U5,0)),1)</f>
        <v>9</v>
      </c>
    </row>
    <row r="6" spans="1:23">
      <c r="A6" t="s">
        <v>18</v>
      </c>
      <c r="B6" t="s">
        <v>112</v>
      </c>
      <c r="C6">
        <v>109</v>
      </c>
      <c r="D6">
        <v>5</v>
      </c>
      <c r="E6">
        <f t="shared" ref="E6:E19" si="0">D6</f>
        <v>5</v>
      </c>
      <c r="F6">
        <v>21</v>
      </c>
      <c r="G6">
        <f t="shared" ref="G6:G19" si="1">F6-D6</f>
        <v>16</v>
      </c>
      <c r="H6">
        <v>37</v>
      </c>
      <c r="I6">
        <f t="shared" ref="I6:U19" si="2">H6-F6</f>
        <v>16</v>
      </c>
      <c r="J6">
        <v>45</v>
      </c>
      <c r="K6">
        <f t="shared" si="2"/>
        <v>8</v>
      </c>
      <c r="L6" s="2">
        <v>58</v>
      </c>
      <c r="M6">
        <f t="shared" si="2"/>
        <v>13</v>
      </c>
      <c r="N6" s="2">
        <v>64</v>
      </c>
      <c r="O6">
        <f t="shared" si="2"/>
        <v>6</v>
      </c>
      <c r="P6" s="2">
        <v>73</v>
      </c>
      <c r="Q6">
        <f t="shared" si="2"/>
        <v>9</v>
      </c>
      <c r="R6" s="2">
        <v>80</v>
      </c>
      <c r="S6">
        <f t="shared" si="2"/>
        <v>7</v>
      </c>
      <c r="T6" s="2">
        <v>87</v>
      </c>
      <c r="U6">
        <f t="shared" si="2"/>
        <v>7</v>
      </c>
      <c r="V6">
        <f t="shared" ref="V6:V19" si="3">MAX($D6,$F6,$H6,$J6,$L6,$N6,$P6,$R6,$T6)</f>
        <v>87</v>
      </c>
      <c r="W6" s="3" t="str">
        <f t="shared" ref="W6:W19" si="4">LEFT(INDEX($D$4:$U$4,MATCH($V6,$D6:$U6,0)),1)</f>
        <v>9</v>
      </c>
    </row>
    <row r="7" spans="1:23">
      <c r="A7" t="s">
        <v>19</v>
      </c>
      <c r="B7" t="s">
        <v>113</v>
      </c>
      <c r="C7">
        <v>127</v>
      </c>
      <c r="D7">
        <v>17</v>
      </c>
      <c r="E7">
        <f t="shared" si="0"/>
        <v>17</v>
      </c>
      <c r="F7">
        <v>33</v>
      </c>
      <c r="G7">
        <f t="shared" si="1"/>
        <v>16</v>
      </c>
      <c r="H7">
        <v>47</v>
      </c>
      <c r="I7">
        <f t="shared" si="2"/>
        <v>14</v>
      </c>
      <c r="J7">
        <v>61</v>
      </c>
      <c r="K7">
        <f t="shared" si="2"/>
        <v>14</v>
      </c>
      <c r="L7" s="2">
        <v>77</v>
      </c>
      <c r="M7">
        <f t="shared" si="2"/>
        <v>16</v>
      </c>
      <c r="N7" s="2">
        <v>89</v>
      </c>
      <c r="O7">
        <f t="shared" si="2"/>
        <v>12</v>
      </c>
      <c r="P7" s="2">
        <v>101</v>
      </c>
      <c r="Q7">
        <f t="shared" si="2"/>
        <v>12</v>
      </c>
      <c r="R7" s="2">
        <v>107</v>
      </c>
      <c r="S7">
        <f t="shared" si="2"/>
        <v>6</v>
      </c>
      <c r="T7" s="2">
        <v>118</v>
      </c>
      <c r="U7">
        <f t="shared" si="2"/>
        <v>11</v>
      </c>
      <c r="V7">
        <f t="shared" si="3"/>
        <v>118</v>
      </c>
      <c r="W7" s="3" t="str">
        <f t="shared" si="4"/>
        <v>9</v>
      </c>
    </row>
    <row r="8" spans="1:23">
      <c r="A8" t="s">
        <v>20</v>
      </c>
      <c r="B8" t="s">
        <v>98</v>
      </c>
      <c r="C8">
        <v>98</v>
      </c>
      <c r="D8">
        <v>18</v>
      </c>
      <c r="E8">
        <f t="shared" si="0"/>
        <v>18</v>
      </c>
      <c r="F8">
        <v>36</v>
      </c>
      <c r="G8">
        <f t="shared" si="1"/>
        <v>18</v>
      </c>
      <c r="H8">
        <v>50</v>
      </c>
      <c r="I8">
        <f t="shared" si="2"/>
        <v>14</v>
      </c>
      <c r="J8">
        <v>61</v>
      </c>
      <c r="K8">
        <f t="shared" si="2"/>
        <v>11</v>
      </c>
      <c r="L8" s="2">
        <v>79</v>
      </c>
      <c r="M8">
        <f t="shared" si="2"/>
        <v>18</v>
      </c>
      <c r="N8" s="2">
        <v>95</v>
      </c>
      <c r="O8">
        <f t="shared" si="2"/>
        <v>16</v>
      </c>
      <c r="P8" s="2">
        <v>98</v>
      </c>
      <c r="Q8">
        <f t="shared" si="2"/>
        <v>3</v>
      </c>
      <c r="R8" s="2">
        <v>98</v>
      </c>
      <c r="S8">
        <f t="shared" si="2"/>
        <v>0</v>
      </c>
      <c r="T8" s="2">
        <v>98</v>
      </c>
      <c r="U8">
        <f t="shared" si="2"/>
        <v>0</v>
      </c>
      <c r="V8">
        <f t="shared" si="3"/>
        <v>98</v>
      </c>
      <c r="W8" s="3" t="str">
        <f t="shared" si="4"/>
        <v>7</v>
      </c>
    </row>
    <row r="9" spans="1:23">
      <c r="A9" t="s">
        <v>21</v>
      </c>
      <c r="B9" t="s">
        <v>48</v>
      </c>
      <c r="C9">
        <v>136</v>
      </c>
      <c r="D9">
        <v>15</v>
      </c>
      <c r="E9">
        <f t="shared" si="0"/>
        <v>15</v>
      </c>
      <c r="F9">
        <v>32</v>
      </c>
      <c r="G9">
        <f t="shared" si="1"/>
        <v>17</v>
      </c>
      <c r="H9">
        <v>47</v>
      </c>
      <c r="I9">
        <f t="shared" si="2"/>
        <v>15</v>
      </c>
      <c r="J9">
        <v>57</v>
      </c>
      <c r="K9">
        <f t="shared" si="2"/>
        <v>10</v>
      </c>
      <c r="L9" s="2">
        <v>70</v>
      </c>
      <c r="M9">
        <f t="shared" si="2"/>
        <v>13</v>
      </c>
      <c r="N9" s="2">
        <v>78</v>
      </c>
      <c r="O9">
        <f t="shared" si="2"/>
        <v>8</v>
      </c>
      <c r="P9" s="2">
        <v>93</v>
      </c>
      <c r="Q9">
        <f t="shared" si="2"/>
        <v>15</v>
      </c>
      <c r="R9" s="2">
        <v>101</v>
      </c>
      <c r="S9">
        <f t="shared" si="2"/>
        <v>8</v>
      </c>
      <c r="T9" s="2">
        <v>111</v>
      </c>
      <c r="U9">
        <f t="shared" si="2"/>
        <v>10</v>
      </c>
      <c r="V9">
        <f t="shared" si="3"/>
        <v>111</v>
      </c>
      <c r="W9" s="3" t="str">
        <f t="shared" si="4"/>
        <v>9</v>
      </c>
    </row>
    <row r="10" spans="1:23">
      <c r="A10" t="s">
        <v>22</v>
      </c>
      <c r="B10" t="s">
        <v>49</v>
      </c>
      <c r="C10">
        <v>153</v>
      </c>
      <c r="D10">
        <v>7</v>
      </c>
      <c r="E10">
        <f t="shared" si="0"/>
        <v>7</v>
      </c>
      <c r="F10">
        <v>18</v>
      </c>
      <c r="G10">
        <f t="shared" si="1"/>
        <v>11</v>
      </c>
      <c r="H10">
        <v>24</v>
      </c>
      <c r="I10">
        <f t="shared" si="2"/>
        <v>6</v>
      </c>
      <c r="J10">
        <v>37</v>
      </c>
      <c r="K10">
        <f t="shared" si="2"/>
        <v>13</v>
      </c>
      <c r="L10" s="2">
        <v>51</v>
      </c>
      <c r="M10">
        <f t="shared" si="2"/>
        <v>14</v>
      </c>
      <c r="N10" s="2">
        <v>62</v>
      </c>
      <c r="O10">
        <f t="shared" si="2"/>
        <v>11</v>
      </c>
      <c r="P10" s="2">
        <v>73</v>
      </c>
      <c r="Q10">
        <f t="shared" si="2"/>
        <v>11</v>
      </c>
      <c r="R10" s="2">
        <v>91</v>
      </c>
      <c r="S10">
        <f t="shared" si="2"/>
        <v>18</v>
      </c>
      <c r="T10" s="2">
        <v>109</v>
      </c>
      <c r="U10">
        <f t="shared" si="2"/>
        <v>18</v>
      </c>
      <c r="V10">
        <f t="shared" si="3"/>
        <v>109</v>
      </c>
      <c r="W10" s="3" t="str">
        <f t="shared" si="4"/>
        <v>9</v>
      </c>
    </row>
    <row r="11" spans="1:23">
      <c r="A11" t="s">
        <v>23</v>
      </c>
      <c r="B11" t="s">
        <v>109</v>
      </c>
      <c r="C11">
        <v>110</v>
      </c>
      <c r="D11">
        <v>6</v>
      </c>
      <c r="E11">
        <f t="shared" si="0"/>
        <v>6</v>
      </c>
      <c r="F11">
        <v>12</v>
      </c>
      <c r="G11">
        <f t="shared" si="1"/>
        <v>6</v>
      </c>
      <c r="H11">
        <v>27</v>
      </c>
      <c r="I11">
        <f t="shared" si="2"/>
        <v>15</v>
      </c>
      <c r="J11">
        <v>41</v>
      </c>
      <c r="K11">
        <f t="shared" si="2"/>
        <v>14</v>
      </c>
      <c r="L11" s="2">
        <v>52</v>
      </c>
      <c r="M11">
        <f t="shared" si="2"/>
        <v>11</v>
      </c>
      <c r="N11" s="2">
        <v>68</v>
      </c>
      <c r="O11">
        <f t="shared" si="2"/>
        <v>16</v>
      </c>
      <c r="P11" s="2">
        <v>75</v>
      </c>
      <c r="Q11">
        <f t="shared" si="2"/>
        <v>7</v>
      </c>
      <c r="R11" s="2">
        <v>81</v>
      </c>
      <c r="S11">
        <f t="shared" si="2"/>
        <v>6</v>
      </c>
      <c r="T11" s="2">
        <v>93</v>
      </c>
      <c r="U11">
        <f t="shared" si="2"/>
        <v>12</v>
      </c>
      <c r="V11">
        <f t="shared" si="3"/>
        <v>93</v>
      </c>
      <c r="W11" s="3" t="str">
        <f t="shared" si="4"/>
        <v>9</v>
      </c>
    </row>
    <row r="12" spans="1:23">
      <c r="A12" t="s">
        <v>24</v>
      </c>
      <c r="B12" t="s">
        <v>101</v>
      </c>
      <c r="C12">
        <v>70</v>
      </c>
      <c r="D12">
        <v>10</v>
      </c>
      <c r="E12">
        <f t="shared" si="0"/>
        <v>10</v>
      </c>
      <c r="F12">
        <v>30</v>
      </c>
      <c r="G12">
        <f t="shared" si="1"/>
        <v>20</v>
      </c>
      <c r="H12">
        <v>41</v>
      </c>
      <c r="I12">
        <f t="shared" si="2"/>
        <v>11</v>
      </c>
      <c r="J12">
        <v>60</v>
      </c>
      <c r="K12">
        <f t="shared" si="2"/>
        <v>19</v>
      </c>
      <c r="L12" s="2">
        <v>70</v>
      </c>
      <c r="M12">
        <f t="shared" si="2"/>
        <v>10</v>
      </c>
      <c r="N12" s="2">
        <v>70</v>
      </c>
      <c r="O12">
        <f t="shared" si="2"/>
        <v>0</v>
      </c>
      <c r="P12" s="2">
        <v>70</v>
      </c>
      <c r="Q12">
        <f t="shared" si="2"/>
        <v>0</v>
      </c>
      <c r="R12" s="2">
        <v>70</v>
      </c>
      <c r="S12">
        <f t="shared" si="2"/>
        <v>0</v>
      </c>
      <c r="T12" s="2">
        <v>70</v>
      </c>
      <c r="U12">
        <f t="shared" si="2"/>
        <v>0</v>
      </c>
      <c r="V12">
        <f t="shared" si="3"/>
        <v>70</v>
      </c>
      <c r="W12" s="3" t="str">
        <f t="shared" si="4"/>
        <v>5</v>
      </c>
    </row>
    <row r="13" spans="1:23">
      <c r="A13" t="s">
        <v>25</v>
      </c>
      <c r="B13" t="s">
        <v>110</v>
      </c>
      <c r="C13">
        <v>134</v>
      </c>
      <c r="D13">
        <v>5</v>
      </c>
      <c r="E13">
        <f t="shared" si="0"/>
        <v>5</v>
      </c>
      <c r="F13">
        <v>22</v>
      </c>
      <c r="G13">
        <f t="shared" si="1"/>
        <v>17</v>
      </c>
      <c r="H13">
        <v>39</v>
      </c>
      <c r="I13">
        <f t="shared" si="2"/>
        <v>17</v>
      </c>
      <c r="J13">
        <v>45</v>
      </c>
      <c r="K13">
        <f t="shared" si="2"/>
        <v>6</v>
      </c>
      <c r="L13" s="2">
        <v>56</v>
      </c>
      <c r="M13">
        <f t="shared" si="2"/>
        <v>11</v>
      </c>
      <c r="N13" s="2">
        <v>70</v>
      </c>
      <c r="O13">
        <f t="shared" si="2"/>
        <v>14</v>
      </c>
      <c r="P13" s="2">
        <v>87</v>
      </c>
      <c r="Q13">
        <f t="shared" si="2"/>
        <v>17</v>
      </c>
      <c r="R13" s="2">
        <v>104</v>
      </c>
      <c r="S13">
        <f t="shared" si="2"/>
        <v>17</v>
      </c>
      <c r="T13" s="2">
        <v>112</v>
      </c>
      <c r="U13">
        <f t="shared" si="2"/>
        <v>8</v>
      </c>
      <c r="V13">
        <f t="shared" si="3"/>
        <v>112</v>
      </c>
      <c r="W13" s="3" t="str">
        <f t="shared" si="4"/>
        <v>9</v>
      </c>
    </row>
    <row r="14" spans="1:23">
      <c r="A14" t="s">
        <v>26</v>
      </c>
      <c r="B14" t="s">
        <v>108</v>
      </c>
      <c r="C14">
        <v>116</v>
      </c>
      <c r="D14">
        <v>18</v>
      </c>
      <c r="E14">
        <f t="shared" si="0"/>
        <v>18</v>
      </c>
      <c r="F14">
        <v>35</v>
      </c>
      <c r="G14">
        <f t="shared" si="1"/>
        <v>17</v>
      </c>
      <c r="H14">
        <v>54</v>
      </c>
      <c r="I14">
        <f t="shared" si="2"/>
        <v>19</v>
      </c>
      <c r="J14">
        <v>66</v>
      </c>
      <c r="K14">
        <f t="shared" si="2"/>
        <v>12</v>
      </c>
      <c r="L14" s="2">
        <v>76</v>
      </c>
      <c r="M14">
        <f t="shared" si="2"/>
        <v>10</v>
      </c>
      <c r="N14" s="2">
        <v>95</v>
      </c>
      <c r="O14">
        <f t="shared" si="2"/>
        <v>19</v>
      </c>
      <c r="P14" s="2">
        <v>101</v>
      </c>
      <c r="Q14">
        <f t="shared" si="2"/>
        <v>6</v>
      </c>
      <c r="R14" s="2">
        <v>115</v>
      </c>
      <c r="S14">
        <f t="shared" si="2"/>
        <v>14</v>
      </c>
      <c r="T14" s="2">
        <v>116</v>
      </c>
      <c r="U14">
        <f t="shared" si="2"/>
        <v>1</v>
      </c>
      <c r="V14">
        <f t="shared" si="3"/>
        <v>116</v>
      </c>
      <c r="W14" s="3" t="str">
        <f t="shared" si="4"/>
        <v>9</v>
      </c>
    </row>
    <row r="15" spans="1:23">
      <c r="A15" t="s">
        <v>27</v>
      </c>
      <c r="B15" t="s">
        <v>105</v>
      </c>
      <c r="C15">
        <v>80</v>
      </c>
      <c r="D15">
        <v>14</v>
      </c>
      <c r="E15">
        <f t="shared" si="0"/>
        <v>14</v>
      </c>
      <c r="F15">
        <v>32</v>
      </c>
      <c r="G15">
        <f t="shared" si="1"/>
        <v>18</v>
      </c>
      <c r="H15">
        <v>48</v>
      </c>
      <c r="I15">
        <f t="shared" si="2"/>
        <v>16</v>
      </c>
      <c r="J15">
        <v>60</v>
      </c>
      <c r="K15">
        <f t="shared" si="2"/>
        <v>12</v>
      </c>
      <c r="L15" s="2">
        <v>70</v>
      </c>
      <c r="M15">
        <f t="shared" si="2"/>
        <v>10</v>
      </c>
      <c r="N15" s="2">
        <v>76</v>
      </c>
      <c r="O15">
        <f t="shared" si="2"/>
        <v>6</v>
      </c>
      <c r="P15" s="2">
        <v>80</v>
      </c>
      <c r="Q15">
        <f t="shared" si="2"/>
        <v>4</v>
      </c>
      <c r="R15" s="2">
        <v>80</v>
      </c>
      <c r="S15">
        <f t="shared" si="2"/>
        <v>0</v>
      </c>
      <c r="T15" s="2">
        <v>80</v>
      </c>
      <c r="U15">
        <f t="shared" si="2"/>
        <v>0</v>
      </c>
      <c r="V15">
        <f t="shared" si="3"/>
        <v>80</v>
      </c>
      <c r="W15" s="3" t="str">
        <f t="shared" si="4"/>
        <v>7</v>
      </c>
    </row>
    <row r="16" spans="1:23">
      <c r="A16" t="s">
        <v>28</v>
      </c>
      <c r="B16" t="s">
        <v>104</v>
      </c>
      <c r="C16">
        <v>160</v>
      </c>
      <c r="D16">
        <v>3</v>
      </c>
      <c r="E16">
        <f t="shared" si="0"/>
        <v>3</v>
      </c>
      <c r="F16">
        <v>18</v>
      </c>
      <c r="G16">
        <f t="shared" si="1"/>
        <v>15</v>
      </c>
      <c r="H16">
        <v>25</v>
      </c>
      <c r="I16">
        <f t="shared" si="2"/>
        <v>7</v>
      </c>
      <c r="J16">
        <v>38</v>
      </c>
      <c r="K16">
        <f t="shared" si="2"/>
        <v>13</v>
      </c>
      <c r="L16" s="2">
        <v>48</v>
      </c>
      <c r="M16">
        <f t="shared" si="2"/>
        <v>10</v>
      </c>
      <c r="N16" s="2">
        <v>54</v>
      </c>
      <c r="O16">
        <f t="shared" si="2"/>
        <v>6</v>
      </c>
      <c r="P16" s="2">
        <v>62</v>
      </c>
      <c r="Q16">
        <f t="shared" si="2"/>
        <v>8</v>
      </c>
      <c r="R16" s="2">
        <v>71</v>
      </c>
      <c r="S16">
        <f t="shared" si="2"/>
        <v>9</v>
      </c>
      <c r="T16" s="2">
        <v>78</v>
      </c>
      <c r="U16">
        <f t="shared" si="2"/>
        <v>7</v>
      </c>
      <c r="V16">
        <f t="shared" si="3"/>
        <v>78</v>
      </c>
      <c r="W16" s="3" t="str">
        <f t="shared" si="4"/>
        <v>9</v>
      </c>
    </row>
    <row r="17" spans="1:23">
      <c r="A17" t="s">
        <v>29</v>
      </c>
      <c r="B17" t="s">
        <v>102</v>
      </c>
      <c r="C17">
        <v>138</v>
      </c>
      <c r="D17">
        <v>15</v>
      </c>
      <c r="E17">
        <f t="shared" si="0"/>
        <v>15</v>
      </c>
      <c r="F17">
        <v>32</v>
      </c>
      <c r="G17">
        <f t="shared" si="1"/>
        <v>17</v>
      </c>
      <c r="H17">
        <v>48</v>
      </c>
      <c r="I17">
        <f t="shared" si="2"/>
        <v>16</v>
      </c>
      <c r="J17">
        <v>59</v>
      </c>
      <c r="K17">
        <f t="shared" si="2"/>
        <v>11</v>
      </c>
      <c r="L17" s="2">
        <v>76</v>
      </c>
      <c r="M17">
        <f t="shared" si="2"/>
        <v>17</v>
      </c>
      <c r="N17" s="2">
        <v>96</v>
      </c>
      <c r="O17">
        <f t="shared" si="2"/>
        <v>20</v>
      </c>
      <c r="P17" s="2">
        <v>113</v>
      </c>
      <c r="Q17">
        <f t="shared" si="2"/>
        <v>17</v>
      </c>
      <c r="R17" s="2">
        <v>126</v>
      </c>
      <c r="S17">
        <f t="shared" si="2"/>
        <v>13</v>
      </c>
      <c r="T17" s="2">
        <v>132</v>
      </c>
      <c r="U17">
        <f t="shared" si="2"/>
        <v>6</v>
      </c>
      <c r="V17">
        <f t="shared" si="3"/>
        <v>132</v>
      </c>
      <c r="W17" s="3" t="str">
        <f t="shared" si="4"/>
        <v>9</v>
      </c>
    </row>
    <row r="18" spans="1:23">
      <c r="A18" t="s">
        <v>30</v>
      </c>
      <c r="B18" t="s">
        <v>111</v>
      </c>
      <c r="C18">
        <v>144</v>
      </c>
      <c r="D18">
        <v>19</v>
      </c>
      <c r="E18">
        <f t="shared" si="0"/>
        <v>19</v>
      </c>
      <c r="F18">
        <v>33</v>
      </c>
      <c r="G18">
        <f t="shared" si="1"/>
        <v>14</v>
      </c>
      <c r="H18">
        <v>53</v>
      </c>
      <c r="I18">
        <f t="shared" si="2"/>
        <v>20</v>
      </c>
      <c r="J18">
        <v>70</v>
      </c>
      <c r="K18">
        <f t="shared" si="2"/>
        <v>17</v>
      </c>
      <c r="L18" s="2">
        <v>81</v>
      </c>
      <c r="M18">
        <f t="shared" si="2"/>
        <v>11</v>
      </c>
      <c r="N18" s="2">
        <v>87</v>
      </c>
      <c r="O18">
        <f t="shared" si="2"/>
        <v>6</v>
      </c>
      <c r="P18" s="2">
        <v>100</v>
      </c>
      <c r="Q18">
        <f t="shared" si="2"/>
        <v>13</v>
      </c>
      <c r="R18" s="2">
        <v>119</v>
      </c>
      <c r="S18">
        <f t="shared" si="2"/>
        <v>19</v>
      </c>
      <c r="T18" s="2">
        <v>132</v>
      </c>
      <c r="U18">
        <f t="shared" si="2"/>
        <v>13</v>
      </c>
      <c r="V18">
        <f t="shared" si="3"/>
        <v>132</v>
      </c>
      <c r="W18" s="3" t="str">
        <f t="shared" si="4"/>
        <v>9</v>
      </c>
    </row>
    <row r="19" spans="1:23" ht="15.75" thickBot="1">
      <c r="A19" t="s">
        <v>31</v>
      </c>
      <c r="B19" t="s">
        <v>99</v>
      </c>
      <c r="C19">
        <v>93</v>
      </c>
      <c r="D19">
        <v>10</v>
      </c>
      <c r="E19">
        <f t="shared" si="0"/>
        <v>10</v>
      </c>
      <c r="F19">
        <v>26</v>
      </c>
      <c r="G19">
        <f t="shared" si="1"/>
        <v>16</v>
      </c>
      <c r="H19">
        <v>40</v>
      </c>
      <c r="I19">
        <f t="shared" si="2"/>
        <v>14</v>
      </c>
      <c r="J19">
        <v>55</v>
      </c>
      <c r="K19">
        <f t="shared" si="2"/>
        <v>15</v>
      </c>
      <c r="L19" s="2">
        <v>61</v>
      </c>
      <c r="M19">
        <f t="shared" si="2"/>
        <v>6</v>
      </c>
      <c r="N19" s="2">
        <v>70</v>
      </c>
      <c r="O19">
        <f t="shared" si="2"/>
        <v>9</v>
      </c>
      <c r="P19" s="2">
        <v>79</v>
      </c>
      <c r="Q19">
        <f t="shared" si="2"/>
        <v>9</v>
      </c>
      <c r="R19" s="2">
        <v>86</v>
      </c>
      <c r="S19">
        <f t="shared" si="2"/>
        <v>7</v>
      </c>
      <c r="T19" s="2">
        <v>93</v>
      </c>
      <c r="U19">
        <f t="shared" si="2"/>
        <v>7</v>
      </c>
      <c r="V19">
        <f t="shared" si="3"/>
        <v>93</v>
      </c>
      <c r="W19" s="3" t="str">
        <f t="shared" si="4"/>
        <v>9</v>
      </c>
    </row>
    <row r="20" spans="1:23" ht="15.75" thickTop="1">
      <c r="C20" s="4">
        <f>SUBTOTAL(9,C5:C19)</f>
        <v>1771</v>
      </c>
      <c r="D20" s="4">
        <f>SUBTOTAL(9,D5:D19)</f>
        <v>170</v>
      </c>
      <c r="E20" s="4">
        <f t="shared" ref="E20:V20" si="5">SUBTOTAL(9,E5:E19)</f>
        <v>170</v>
      </c>
      <c r="F20" s="4">
        <f t="shared" si="5"/>
        <v>395</v>
      </c>
      <c r="G20" s="4">
        <f t="shared" si="5"/>
        <v>225</v>
      </c>
      <c r="H20" s="4">
        <f t="shared" si="5"/>
        <v>609</v>
      </c>
      <c r="I20" s="4">
        <f t="shared" si="5"/>
        <v>214</v>
      </c>
      <c r="J20" s="4">
        <f t="shared" si="5"/>
        <v>790</v>
      </c>
      <c r="K20" s="4">
        <f t="shared" si="5"/>
        <v>181</v>
      </c>
      <c r="L20" s="4">
        <f t="shared" si="5"/>
        <v>978</v>
      </c>
      <c r="M20" s="4">
        <f t="shared" si="5"/>
        <v>188</v>
      </c>
      <c r="N20" s="4">
        <f t="shared" si="5"/>
        <v>1142</v>
      </c>
      <c r="O20" s="4">
        <f t="shared" si="5"/>
        <v>164</v>
      </c>
      <c r="P20" s="4">
        <f t="shared" si="5"/>
        <v>1287</v>
      </c>
      <c r="Q20" s="4">
        <f t="shared" si="5"/>
        <v>145</v>
      </c>
      <c r="R20" s="4">
        <f t="shared" si="5"/>
        <v>1430</v>
      </c>
      <c r="S20" s="4">
        <f t="shared" si="5"/>
        <v>143</v>
      </c>
      <c r="T20" s="4">
        <f t="shared" si="5"/>
        <v>1532</v>
      </c>
      <c r="U20" s="4">
        <f t="shared" si="5"/>
        <v>102</v>
      </c>
      <c r="V20" s="4">
        <f t="shared" si="5"/>
        <v>1532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W19"/>
  <sheetViews>
    <sheetView zoomScale="115" zoomScaleNormal="115" workbookViewId="0">
      <pane xSplit="3" ySplit="4" topLeftCell="D5" activePane="bottomRight" state="frozen"/>
      <selection activeCell="D5" sqref="D5"/>
      <selection pane="topRight" activeCell="D5" sqref="D5"/>
      <selection pane="bottomLeft" activeCell="D5" sqref="D5"/>
      <selection pane="bottomRight"/>
    </sheetView>
  </sheetViews>
  <sheetFormatPr defaultRowHeight="15"/>
  <cols>
    <col min="2" max="2" width="17.28515625" bestFit="1" customWidth="1"/>
    <col min="3" max="3" width="17.28515625" customWidth="1"/>
    <col min="4" max="5" width="9.140625" customWidth="1"/>
  </cols>
  <sheetData>
    <row r="1" spans="1:23">
      <c r="A1" s="1" t="s">
        <v>9</v>
      </c>
      <c r="B1" s="1">
        <f>'Day1'!YearCell</f>
        <v>2018</v>
      </c>
      <c r="C1" s="1" t="s">
        <v>10</v>
      </c>
    </row>
    <row r="2" spans="1:23">
      <c r="A2" s="1" t="s">
        <v>11</v>
      </c>
      <c r="B2" s="1">
        <f>'Day1'!WeekCell</f>
        <v>18</v>
      </c>
      <c r="C2" s="5">
        <f>'Day1'!DateCell+1</f>
        <v>43220</v>
      </c>
    </row>
    <row r="3" spans="1:23">
      <c r="A3" s="1"/>
    </row>
    <row r="4" spans="1:23">
      <c r="A4" s="1" t="s">
        <v>1</v>
      </c>
      <c r="B4" s="1" t="s">
        <v>0</v>
      </c>
      <c r="C4" s="1" t="s">
        <v>32</v>
      </c>
      <c r="D4" s="1" t="s">
        <v>2</v>
      </c>
      <c r="E4" s="1" t="s">
        <v>3</v>
      </c>
      <c r="F4" s="1" t="s">
        <v>4</v>
      </c>
      <c r="G4" s="1" t="s">
        <v>3</v>
      </c>
      <c r="H4" s="1" t="s">
        <v>5</v>
      </c>
      <c r="I4" s="1" t="s">
        <v>3</v>
      </c>
      <c r="J4" s="1" t="s">
        <v>6</v>
      </c>
      <c r="K4" s="1" t="s">
        <v>3</v>
      </c>
      <c r="L4" s="1" t="s">
        <v>7</v>
      </c>
      <c r="M4" s="1" t="s">
        <v>3</v>
      </c>
      <c r="N4" s="1" t="s">
        <v>8</v>
      </c>
      <c r="O4" s="1" t="s">
        <v>3</v>
      </c>
      <c r="P4" s="1" t="s">
        <v>12</v>
      </c>
      <c r="Q4" s="1" t="s">
        <v>3</v>
      </c>
      <c r="R4" s="1" t="s">
        <v>13</v>
      </c>
      <c r="S4" s="1" t="s">
        <v>3</v>
      </c>
      <c r="T4" s="1" t="s">
        <v>14</v>
      </c>
      <c r="U4" s="1" t="s">
        <v>3</v>
      </c>
      <c r="V4" s="1" t="s">
        <v>15</v>
      </c>
      <c r="W4" s="1" t="s">
        <v>16</v>
      </c>
    </row>
    <row r="5" spans="1:23">
      <c r="A5" t="s">
        <v>23</v>
      </c>
      <c r="B5" t="s">
        <v>59</v>
      </c>
      <c r="C5">
        <v>115</v>
      </c>
      <c r="D5">
        <v>8</v>
      </c>
      <c r="E5">
        <f>D5</f>
        <v>8</v>
      </c>
      <c r="F5">
        <v>15</v>
      </c>
      <c r="G5">
        <f>F5-D5</f>
        <v>7</v>
      </c>
      <c r="H5">
        <v>29</v>
      </c>
      <c r="I5">
        <f>H5-F5</f>
        <v>14</v>
      </c>
      <c r="J5">
        <v>35</v>
      </c>
      <c r="K5">
        <f>J5-H5</f>
        <v>6</v>
      </c>
      <c r="L5" s="2">
        <v>53</v>
      </c>
      <c r="M5">
        <f>L5-J5</f>
        <v>18</v>
      </c>
      <c r="N5" s="2">
        <v>68</v>
      </c>
      <c r="O5">
        <f>N5-L5</f>
        <v>15</v>
      </c>
      <c r="P5" s="2">
        <v>82</v>
      </c>
      <c r="Q5">
        <f>P5-N5</f>
        <v>14</v>
      </c>
      <c r="R5" s="2">
        <v>101</v>
      </c>
      <c r="S5">
        <f>R5-P5</f>
        <v>19</v>
      </c>
      <c r="T5" s="2">
        <v>103</v>
      </c>
      <c r="U5">
        <f>T5-R5</f>
        <v>2</v>
      </c>
      <c r="V5">
        <f>MAX($D5,$F5,$H5,$J5,$L5,$N5,$P5,$R5,$T5)</f>
        <v>103</v>
      </c>
      <c r="W5" s="3" t="str">
        <f>LEFT(INDEX($D$4:$U$4,MATCH($V5,$D5:$U5,0)),1)</f>
        <v>9</v>
      </c>
    </row>
    <row r="6" spans="1:23">
      <c r="A6" t="s">
        <v>33</v>
      </c>
      <c r="B6" t="s">
        <v>105</v>
      </c>
      <c r="C6">
        <v>120</v>
      </c>
      <c r="D6">
        <v>5</v>
      </c>
      <c r="E6">
        <f t="shared" ref="E6:E18" si="0">D6</f>
        <v>5</v>
      </c>
      <c r="F6">
        <v>21</v>
      </c>
      <c r="G6">
        <f t="shared" ref="G6:G18" si="1">F6-D6</f>
        <v>16</v>
      </c>
      <c r="H6">
        <v>37</v>
      </c>
      <c r="I6">
        <f t="shared" ref="I6:U18" si="2">H6-F6</f>
        <v>16</v>
      </c>
      <c r="J6">
        <v>45</v>
      </c>
      <c r="K6">
        <f t="shared" si="2"/>
        <v>8</v>
      </c>
      <c r="L6" s="2">
        <v>58</v>
      </c>
      <c r="M6">
        <f t="shared" si="2"/>
        <v>13</v>
      </c>
      <c r="N6" s="2">
        <v>64</v>
      </c>
      <c r="O6">
        <f t="shared" si="2"/>
        <v>6</v>
      </c>
      <c r="P6" s="2">
        <v>73</v>
      </c>
      <c r="Q6">
        <f t="shared" si="2"/>
        <v>9</v>
      </c>
      <c r="R6" s="2">
        <v>80</v>
      </c>
      <c r="S6">
        <f t="shared" si="2"/>
        <v>7</v>
      </c>
      <c r="T6" s="2">
        <v>87</v>
      </c>
      <c r="U6">
        <f t="shared" si="2"/>
        <v>7</v>
      </c>
      <c r="V6">
        <f t="shared" ref="V6:V18" si="3">MAX($D6,$F6,$H6,$J6,$L6,$N6,$P6,$R6,$T6)</f>
        <v>87</v>
      </c>
      <c r="W6" s="3" t="str">
        <f t="shared" ref="W6:W18" si="4">LEFT(INDEX($D$4:$U$4,MATCH($V6,$D6:$U6,0)),1)</f>
        <v>9</v>
      </c>
    </row>
    <row r="7" spans="1:23">
      <c r="A7" t="s">
        <v>34</v>
      </c>
      <c r="B7" t="s">
        <v>50</v>
      </c>
      <c r="C7">
        <v>131</v>
      </c>
      <c r="D7">
        <v>17</v>
      </c>
      <c r="E7">
        <f t="shared" si="0"/>
        <v>17</v>
      </c>
      <c r="F7">
        <v>33</v>
      </c>
      <c r="G7">
        <f t="shared" si="1"/>
        <v>16</v>
      </c>
      <c r="H7">
        <v>47</v>
      </c>
      <c r="I7">
        <f t="shared" si="2"/>
        <v>14</v>
      </c>
      <c r="J7">
        <v>61</v>
      </c>
      <c r="K7">
        <f t="shared" si="2"/>
        <v>14</v>
      </c>
      <c r="L7" s="2">
        <v>77</v>
      </c>
      <c r="M7">
        <f t="shared" si="2"/>
        <v>16</v>
      </c>
      <c r="N7" s="2">
        <v>89</v>
      </c>
      <c r="O7">
        <f t="shared" si="2"/>
        <v>12</v>
      </c>
      <c r="P7" s="2">
        <v>101</v>
      </c>
      <c r="Q7">
        <f t="shared" si="2"/>
        <v>12</v>
      </c>
      <c r="R7" s="2">
        <v>107</v>
      </c>
      <c r="S7">
        <f t="shared" si="2"/>
        <v>6</v>
      </c>
      <c r="T7" s="2">
        <v>118</v>
      </c>
      <c r="U7">
        <f t="shared" si="2"/>
        <v>11</v>
      </c>
      <c r="V7">
        <f t="shared" si="3"/>
        <v>118</v>
      </c>
      <c r="W7" s="3" t="str">
        <f t="shared" si="4"/>
        <v>9</v>
      </c>
    </row>
    <row r="8" spans="1:23">
      <c r="A8" t="s">
        <v>29</v>
      </c>
      <c r="B8" t="s">
        <v>113</v>
      </c>
      <c r="C8">
        <v>100</v>
      </c>
      <c r="D8">
        <v>18</v>
      </c>
      <c r="E8">
        <f t="shared" si="0"/>
        <v>18</v>
      </c>
      <c r="F8">
        <v>36</v>
      </c>
      <c r="G8">
        <f t="shared" si="1"/>
        <v>18</v>
      </c>
      <c r="H8">
        <v>50</v>
      </c>
      <c r="I8">
        <f t="shared" si="2"/>
        <v>14</v>
      </c>
      <c r="J8">
        <v>61</v>
      </c>
      <c r="K8">
        <f t="shared" si="2"/>
        <v>11</v>
      </c>
      <c r="L8" s="2">
        <v>79</v>
      </c>
      <c r="M8">
        <f t="shared" si="2"/>
        <v>18</v>
      </c>
      <c r="N8" s="2">
        <v>95</v>
      </c>
      <c r="O8">
        <f t="shared" si="2"/>
        <v>16</v>
      </c>
      <c r="P8" s="2">
        <v>98</v>
      </c>
      <c r="Q8">
        <f t="shared" si="2"/>
        <v>3</v>
      </c>
      <c r="R8" s="2">
        <v>98</v>
      </c>
      <c r="S8">
        <f t="shared" si="2"/>
        <v>0</v>
      </c>
      <c r="T8" s="2">
        <v>98</v>
      </c>
      <c r="U8">
        <f t="shared" si="2"/>
        <v>0</v>
      </c>
      <c r="V8">
        <f t="shared" si="3"/>
        <v>98</v>
      </c>
      <c r="W8" s="3" t="str">
        <f t="shared" si="4"/>
        <v>7</v>
      </c>
    </row>
    <row r="9" spans="1:23">
      <c r="A9" t="s">
        <v>35</v>
      </c>
      <c r="B9" t="s">
        <v>56</v>
      </c>
      <c r="C9">
        <v>89</v>
      </c>
      <c r="D9">
        <v>15</v>
      </c>
      <c r="E9">
        <f t="shared" si="0"/>
        <v>15</v>
      </c>
      <c r="F9">
        <v>32</v>
      </c>
      <c r="G9">
        <f t="shared" si="1"/>
        <v>17</v>
      </c>
      <c r="H9">
        <v>47</v>
      </c>
      <c r="I9">
        <f t="shared" si="2"/>
        <v>15</v>
      </c>
      <c r="J9">
        <v>57</v>
      </c>
      <c r="K9">
        <f t="shared" si="2"/>
        <v>10</v>
      </c>
      <c r="L9" s="2">
        <v>70</v>
      </c>
      <c r="M9">
        <f t="shared" si="2"/>
        <v>13</v>
      </c>
      <c r="N9" s="2">
        <v>78</v>
      </c>
      <c r="O9">
        <f t="shared" si="2"/>
        <v>8</v>
      </c>
      <c r="P9" s="2">
        <v>93</v>
      </c>
      <c r="Q9">
        <f t="shared" si="2"/>
        <v>15</v>
      </c>
      <c r="R9" s="2">
        <v>101</v>
      </c>
      <c r="S9">
        <f t="shared" si="2"/>
        <v>8</v>
      </c>
      <c r="T9" s="2">
        <v>111</v>
      </c>
      <c r="U9">
        <f t="shared" si="2"/>
        <v>10</v>
      </c>
      <c r="V9">
        <f t="shared" si="3"/>
        <v>111</v>
      </c>
      <c r="W9" s="3" t="str">
        <f t="shared" si="4"/>
        <v>9</v>
      </c>
    </row>
    <row r="10" spans="1:23">
      <c r="A10" t="s">
        <v>36</v>
      </c>
      <c r="B10" t="s">
        <v>48</v>
      </c>
      <c r="C10">
        <v>153</v>
      </c>
      <c r="D10">
        <v>7</v>
      </c>
      <c r="E10">
        <f t="shared" si="0"/>
        <v>7</v>
      </c>
      <c r="F10">
        <v>18</v>
      </c>
      <c r="G10">
        <f t="shared" si="1"/>
        <v>11</v>
      </c>
      <c r="H10">
        <v>24</v>
      </c>
      <c r="I10">
        <f t="shared" si="2"/>
        <v>6</v>
      </c>
      <c r="J10">
        <v>37</v>
      </c>
      <c r="K10">
        <f t="shared" si="2"/>
        <v>13</v>
      </c>
      <c r="L10" s="2">
        <v>51</v>
      </c>
      <c r="M10">
        <f t="shared" si="2"/>
        <v>14</v>
      </c>
      <c r="N10" s="2">
        <v>62</v>
      </c>
      <c r="O10">
        <f t="shared" si="2"/>
        <v>11</v>
      </c>
      <c r="P10" s="2">
        <v>73</v>
      </c>
      <c r="Q10">
        <f t="shared" si="2"/>
        <v>11</v>
      </c>
      <c r="R10" s="2">
        <v>91</v>
      </c>
      <c r="S10">
        <f t="shared" si="2"/>
        <v>18</v>
      </c>
      <c r="T10" s="2">
        <v>109</v>
      </c>
      <c r="U10">
        <f t="shared" si="2"/>
        <v>18</v>
      </c>
      <c r="V10">
        <f t="shared" si="3"/>
        <v>109</v>
      </c>
      <c r="W10" s="3" t="str">
        <f t="shared" si="4"/>
        <v>9</v>
      </c>
    </row>
    <row r="11" spans="1:23">
      <c r="A11" t="s">
        <v>24</v>
      </c>
      <c r="B11" t="s">
        <v>60</v>
      </c>
      <c r="C11">
        <v>127</v>
      </c>
      <c r="D11">
        <v>6</v>
      </c>
      <c r="E11">
        <f t="shared" si="0"/>
        <v>6</v>
      </c>
      <c r="F11">
        <v>12</v>
      </c>
      <c r="G11">
        <f t="shared" si="1"/>
        <v>6</v>
      </c>
      <c r="H11">
        <v>27</v>
      </c>
      <c r="I11">
        <f t="shared" si="2"/>
        <v>15</v>
      </c>
      <c r="J11">
        <v>41</v>
      </c>
      <c r="K11">
        <f t="shared" si="2"/>
        <v>14</v>
      </c>
      <c r="L11" s="2">
        <v>52</v>
      </c>
      <c r="M11">
        <f t="shared" si="2"/>
        <v>11</v>
      </c>
      <c r="N11" s="2">
        <v>68</v>
      </c>
      <c r="O11">
        <f t="shared" si="2"/>
        <v>16</v>
      </c>
      <c r="P11" s="2">
        <v>75</v>
      </c>
      <c r="Q11">
        <f t="shared" si="2"/>
        <v>7</v>
      </c>
      <c r="R11" s="2">
        <v>81</v>
      </c>
      <c r="S11">
        <f t="shared" si="2"/>
        <v>6</v>
      </c>
      <c r="T11" s="2">
        <v>93</v>
      </c>
      <c r="U11">
        <f t="shared" si="2"/>
        <v>12</v>
      </c>
      <c r="V11">
        <f t="shared" si="3"/>
        <v>93</v>
      </c>
      <c r="W11" s="3" t="str">
        <f t="shared" si="4"/>
        <v>9</v>
      </c>
    </row>
    <row r="12" spans="1:23">
      <c r="A12" t="s">
        <v>37</v>
      </c>
      <c r="B12" t="s">
        <v>102</v>
      </c>
      <c r="C12">
        <v>125</v>
      </c>
      <c r="D12">
        <v>10</v>
      </c>
      <c r="E12">
        <f t="shared" si="0"/>
        <v>10</v>
      </c>
      <c r="F12">
        <v>30</v>
      </c>
      <c r="G12">
        <f t="shared" si="1"/>
        <v>20</v>
      </c>
      <c r="H12">
        <v>41</v>
      </c>
      <c r="I12">
        <f t="shared" si="2"/>
        <v>11</v>
      </c>
      <c r="J12">
        <v>60</v>
      </c>
      <c r="K12">
        <f t="shared" si="2"/>
        <v>19</v>
      </c>
      <c r="L12" s="2">
        <v>70</v>
      </c>
      <c r="M12">
        <f t="shared" si="2"/>
        <v>10</v>
      </c>
      <c r="N12" s="2">
        <v>70</v>
      </c>
      <c r="O12">
        <f t="shared" si="2"/>
        <v>0</v>
      </c>
      <c r="P12" s="2">
        <v>70</v>
      </c>
      <c r="Q12">
        <f t="shared" si="2"/>
        <v>0</v>
      </c>
      <c r="R12" s="2">
        <v>70</v>
      </c>
      <c r="S12">
        <f t="shared" si="2"/>
        <v>0</v>
      </c>
      <c r="T12" s="2">
        <v>70</v>
      </c>
      <c r="U12">
        <f t="shared" si="2"/>
        <v>0</v>
      </c>
      <c r="V12">
        <f t="shared" si="3"/>
        <v>70</v>
      </c>
      <c r="W12" s="3" t="str">
        <f t="shared" si="4"/>
        <v>5</v>
      </c>
    </row>
    <row r="13" spans="1:23">
      <c r="A13" t="s">
        <v>38</v>
      </c>
      <c r="B13" t="s">
        <v>49</v>
      </c>
      <c r="C13">
        <v>134</v>
      </c>
      <c r="D13">
        <v>5</v>
      </c>
      <c r="E13">
        <f t="shared" si="0"/>
        <v>5</v>
      </c>
      <c r="F13">
        <v>22</v>
      </c>
      <c r="G13">
        <f t="shared" si="1"/>
        <v>17</v>
      </c>
      <c r="H13">
        <v>39</v>
      </c>
      <c r="I13">
        <f t="shared" si="2"/>
        <v>17</v>
      </c>
      <c r="J13">
        <v>45</v>
      </c>
      <c r="K13">
        <f t="shared" si="2"/>
        <v>6</v>
      </c>
      <c r="L13" s="2">
        <v>56</v>
      </c>
      <c r="M13">
        <f t="shared" si="2"/>
        <v>11</v>
      </c>
      <c r="N13" s="2">
        <v>70</v>
      </c>
      <c r="O13">
        <f t="shared" si="2"/>
        <v>14</v>
      </c>
      <c r="P13" s="2">
        <v>87</v>
      </c>
      <c r="Q13">
        <f t="shared" si="2"/>
        <v>17</v>
      </c>
      <c r="R13" s="2">
        <v>104</v>
      </c>
      <c r="S13">
        <f t="shared" si="2"/>
        <v>17</v>
      </c>
      <c r="T13" s="2">
        <v>112</v>
      </c>
      <c r="U13">
        <f t="shared" si="2"/>
        <v>8</v>
      </c>
      <c r="V13">
        <f t="shared" si="3"/>
        <v>112</v>
      </c>
      <c r="W13" s="3" t="str">
        <f t="shared" si="4"/>
        <v>9</v>
      </c>
    </row>
    <row r="14" spans="1:23">
      <c r="A14" t="s">
        <v>17</v>
      </c>
      <c r="B14" t="s">
        <v>53</v>
      </c>
      <c r="C14">
        <v>135</v>
      </c>
      <c r="D14">
        <v>18</v>
      </c>
      <c r="E14">
        <f t="shared" si="0"/>
        <v>18</v>
      </c>
      <c r="F14">
        <v>35</v>
      </c>
      <c r="G14">
        <f t="shared" si="1"/>
        <v>17</v>
      </c>
      <c r="H14">
        <v>54</v>
      </c>
      <c r="I14">
        <f t="shared" si="2"/>
        <v>19</v>
      </c>
      <c r="J14">
        <v>66</v>
      </c>
      <c r="K14">
        <f t="shared" si="2"/>
        <v>12</v>
      </c>
      <c r="L14" s="2">
        <v>76</v>
      </c>
      <c r="M14">
        <f t="shared" si="2"/>
        <v>10</v>
      </c>
      <c r="N14" s="2">
        <v>95</v>
      </c>
      <c r="O14">
        <f t="shared" si="2"/>
        <v>19</v>
      </c>
      <c r="P14" s="2">
        <v>101</v>
      </c>
      <c r="Q14">
        <f t="shared" si="2"/>
        <v>6</v>
      </c>
      <c r="R14" s="2">
        <v>115</v>
      </c>
      <c r="S14">
        <f t="shared" si="2"/>
        <v>14</v>
      </c>
      <c r="T14" s="2">
        <v>116</v>
      </c>
      <c r="U14">
        <f t="shared" si="2"/>
        <v>1</v>
      </c>
      <c r="V14">
        <f t="shared" si="3"/>
        <v>116</v>
      </c>
      <c r="W14" s="3" t="str">
        <f t="shared" si="4"/>
        <v>9</v>
      </c>
    </row>
    <row r="15" spans="1:23">
      <c r="A15" t="s">
        <v>21</v>
      </c>
      <c r="B15" t="s">
        <v>55</v>
      </c>
      <c r="C15">
        <v>95</v>
      </c>
      <c r="D15">
        <v>14</v>
      </c>
      <c r="E15">
        <f t="shared" si="0"/>
        <v>14</v>
      </c>
      <c r="F15">
        <v>32</v>
      </c>
      <c r="G15">
        <f t="shared" si="1"/>
        <v>18</v>
      </c>
      <c r="H15">
        <v>48</v>
      </c>
      <c r="I15">
        <f t="shared" si="2"/>
        <v>16</v>
      </c>
      <c r="J15">
        <v>60</v>
      </c>
      <c r="K15">
        <f t="shared" si="2"/>
        <v>12</v>
      </c>
      <c r="L15" s="2">
        <v>70</v>
      </c>
      <c r="M15">
        <f t="shared" si="2"/>
        <v>10</v>
      </c>
      <c r="N15" s="2">
        <v>76</v>
      </c>
      <c r="O15">
        <f t="shared" si="2"/>
        <v>6</v>
      </c>
      <c r="P15" s="2">
        <v>80</v>
      </c>
      <c r="Q15">
        <f t="shared" si="2"/>
        <v>4</v>
      </c>
      <c r="R15" s="2">
        <v>80</v>
      </c>
      <c r="S15">
        <f t="shared" si="2"/>
        <v>0</v>
      </c>
      <c r="T15" s="2">
        <v>80</v>
      </c>
      <c r="U15">
        <f t="shared" si="2"/>
        <v>0</v>
      </c>
      <c r="V15">
        <f t="shared" si="3"/>
        <v>80</v>
      </c>
      <c r="W15" s="3" t="str">
        <f t="shared" si="4"/>
        <v>7</v>
      </c>
    </row>
    <row r="16" spans="1:23">
      <c r="A16" t="s">
        <v>31</v>
      </c>
      <c r="B16" t="s">
        <v>57</v>
      </c>
      <c r="C16">
        <v>142</v>
      </c>
      <c r="D16">
        <v>3</v>
      </c>
      <c r="E16">
        <f t="shared" si="0"/>
        <v>3</v>
      </c>
      <c r="F16">
        <v>18</v>
      </c>
      <c r="G16">
        <f t="shared" si="1"/>
        <v>15</v>
      </c>
      <c r="H16">
        <v>25</v>
      </c>
      <c r="I16">
        <f t="shared" si="2"/>
        <v>7</v>
      </c>
      <c r="J16">
        <v>38</v>
      </c>
      <c r="K16">
        <f t="shared" si="2"/>
        <v>13</v>
      </c>
      <c r="L16" s="2">
        <v>48</v>
      </c>
      <c r="M16">
        <f t="shared" si="2"/>
        <v>10</v>
      </c>
      <c r="N16" s="2">
        <v>54</v>
      </c>
      <c r="O16">
        <f t="shared" si="2"/>
        <v>6</v>
      </c>
      <c r="P16" s="2">
        <v>62</v>
      </c>
      <c r="Q16">
        <f t="shared" si="2"/>
        <v>8</v>
      </c>
      <c r="R16" s="2">
        <v>71</v>
      </c>
      <c r="S16">
        <f t="shared" si="2"/>
        <v>9</v>
      </c>
      <c r="T16" s="2">
        <v>78</v>
      </c>
      <c r="U16">
        <f t="shared" si="2"/>
        <v>7</v>
      </c>
      <c r="V16">
        <f t="shared" si="3"/>
        <v>78</v>
      </c>
      <c r="W16" s="3" t="str">
        <f t="shared" si="4"/>
        <v>9</v>
      </c>
    </row>
    <row r="17" spans="1:23">
      <c r="A17" t="s">
        <v>39</v>
      </c>
      <c r="B17" t="s">
        <v>58</v>
      </c>
      <c r="C17">
        <v>138</v>
      </c>
      <c r="D17">
        <v>15</v>
      </c>
      <c r="E17">
        <f t="shared" si="0"/>
        <v>15</v>
      </c>
      <c r="F17">
        <v>32</v>
      </c>
      <c r="G17">
        <f t="shared" si="1"/>
        <v>17</v>
      </c>
      <c r="H17">
        <v>48</v>
      </c>
      <c r="I17">
        <f t="shared" si="2"/>
        <v>16</v>
      </c>
      <c r="J17">
        <v>59</v>
      </c>
      <c r="K17">
        <f t="shared" si="2"/>
        <v>11</v>
      </c>
      <c r="L17" s="2">
        <v>76</v>
      </c>
      <c r="M17">
        <f t="shared" si="2"/>
        <v>17</v>
      </c>
      <c r="N17" s="2">
        <v>96</v>
      </c>
      <c r="O17">
        <f t="shared" si="2"/>
        <v>20</v>
      </c>
      <c r="P17" s="2">
        <v>113</v>
      </c>
      <c r="Q17">
        <f t="shared" si="2"/>
        <v>17</v>
      </c>
      <c r="R17" s="2">
        <v>126</v>
      </c>
      <c r="S17">
        <f t="shared" si="2"/>
        <v>13</v>
      </c>
      <c r="T17" s="2">
        <v>132</v>
      </c>
      <c r="U17">
        <f t="shared" si="2"/>
        <v>6</v>
      </c>
      <c r="V17">
        <f t="shared" si="3"/>
        <v>132</v>
      </c>
      <c r="W17" s="3" t="str">
        <f t="shared" si="4"/>
        <v>9</v>
      </c>
    </row>
    <row r="18" spans="1:23" ht="15.75" thickBot="1">
      <c r="A18" t="s">
        <v>18</v>
      </c>
      <c r="B18" t="s">
        <v>107</v>
      </c>
      <c r="C18">
        <v>144</v>
      </c>
      <c r="D18">
        <v>19</v>
      </c>
      <c r="E18">
        <f t="shared" si="0"/>
        <v>19</v>
      </c>
      <c r="F18">
        <v>33</v>
      </c>
      <c r="G18">
        <f t="shared" si="1"/>
        <v>14</v>
      </c>
      <c r="H18">
        <v>53</v>
      </c>
      <c r="I18">
        <f t="shared" si="2"/>
        <v>20</v>
      </c>
      <c r="J18">
        <v>70</v>
      </c>
      <c r="K18">
        <f t="shared" si="2"/>
        <v>17</v>
      </c>
      <c r="L18" s="2">
        <v>81</v>
      </c>
      <c r="M18">
        <f t="shared" si="2"/>
        <v>11</v>
      </c>
      <c r="N18" s="2">
        <v>87</v>
      </c>
      <c r="O18">
        <f t="shared" si="2"/>
        <v>6</v>
      </c>
      <c r="P18" s="2">
        <v>100</v>
      </c>
      <c r="Q18">
        <f t="shared" si="2"/>
        <v>13</v>
      </c>
      <c r="R18" s="2">
        <v>119</v>
      </c>
      <c r="S18">
        <f t="shared" si="2"/>
        <v>19</v>
      </c>
      <c r="T18" s="2">
        <v>132</v>
      </c>
      <c r="U18">
        <f t="shared" si="2"/>
        <v>13</v>
      </c>
      <c r="V18">
        <f t="shared" si="3"/>
        <v>132</v>
      </c>
      <c r="W18" s="3" t="str">
        <f t="shared" si="4"/>
        <v>9</v>
      </c>
    </row>
    <row r="19" spans="1:23" ht="15.75" thickTop="1">
      <c r="C19" s="4">
        <f t="shared" ref="C19:V19" si="5">SUBTOTAL(9,C5:C18)</f>
        <v>1748</v>
      </c>
      <c r="D19" s="4">
        <f t="shared" si="5"/>
        <v>160</v>
      </c>
      <c r="E19" s="4">
        <f t="shared" si="5"/>
        <v>160</v>
      </c>
      <c r="F19" s="4">
        <f t="shared" si="5"/>
        <v>369</v>
      </c>
      <c r="G19" s="4">
        <f t="shared" si="5"/>
        <v>209</v>
      </c>
      <c r="H19" s="4">
        <f t="shared" si="5"/>
        <v>569</v>
      </c>
      <c r="I19" s="4">
        <f t="shared" si="5"/>
        <v>200</v>
      </c>
      <c r="J19" s="4">
        <f t="shared" si="5"/>
        <v>735</v>
      </c>
      <c r="K19" s="4">
        <f t="shared" si="5"/>
        <v>166</v>
      </c>
      <c r="L19" s="4">
        <f t="shared" si="5"/>
        <v>917</v>
      </c>
      <c r="M19" s="4">
        <f t="shared" si="5"/>
        <v>182</v>
      </c>
      <c r="N19" s="4">
        <f t="shared" si="5"/>
        <v>1072</v>
      </c>
      <c r="O19" s="4">
        <f t="shared" si="5"/>
        <v>155</v>
      </c>
      <c r="P19" s="4">
        <f t="shared" si="5"/>
        <v>1208</v>
      </c>
      <c r="Q19" s="4">
        <f t="shared" si="5"/>
        <v>136</v>
      </c>
      <c r="R19" s="4">
        <f t="shared" si="5"/>
        <v>1344</v>
      </c>
      <c r="S19" s="4">
        <f t="shared" si="5"/>
        <v>136</v>
      </c>
      <c r="T19" s="4">
        <f t="shared" si="5"/>
        <v>1439</v>
      </c>
      <c r="U19" s="4">
        <f t="shared" si="5"/>
        <v>95</v>
      </c>
      <c r="V19" s="4">
        <f t="shared" si="5"/>
        <v>1439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W21"/>
  <sheetViews>
    <sheetView zoomScale="115" zoomScaleNormal="115" workbookViewId="0">
      <pane xSplit="3" ySplit="4" topLeftCell="D5" activePane="bottomRight" state="frozen"/>
      <selection activeCell="D5" sqref="D5"/>
      <selection pane="topRight" activeCell="D5" sqref="D5"/>
      <selection pane="bottomLeft" activeCell="D5" sqref="D5"/>
      <selection pane="bottomRight"/>
    </sheetView>
  </sheetViews>
  <sheetFormatPr defaultRowHeight="15"/>
  <cols>
    <col min="2" max="2" width="17.28515625" bestFit="1" customWidth="1"/>
    <col min="3" max="3" width="17.28515625" customWidth="1"/>
    <col min="4" max="5" width="9.140625" customWidth="1"/>
  </cols>
  <sheetData>
    <row r="1" spans="1:23">
      <c r="A1" s="1" t="s">
        <v>9</v>
      </c>
      <c r="B1" s="1">
        <f>'Day1'!YearCell</f>
        <v>2018</v>
      </c>
      <c r="C1" s="1" t="s">
        <v>10</v>
      </c>
    </row>
    <row r="2" spans="1:23">
      <c r="A2" s="1" t="s">
        <v>11</v>
      </c>
      <c r="B2" s="1">
        <f>'Day1'!WeekCell</f>
        <v>18</v>
      </c>
      <c r="C2" s="5">
        <f>'Day1'!DateCell+2</f>
        <v>43221</v>
      </c>
    </row>
    <row r="3" spans="1:23">
      <c r="A3" s="1"/>
    </row>
    <row r="4" spans="1:23">
      <c r="A4" s="1" t="s">
        <v>1</v>
      </c>
      <c r="B4" s="1" t="s">
        <v>0</v>
      </c>
      <c r="C4" s="1" t="s">
        <v>32</v>
      </c>
      <c r="D4" s="1" t="s">
        <v>2</v>
      </c>
      <c r="E4" s="1" t="s">
        <v>3</v>
      </c>
      <c r="F4" s="1" t="s">
        <v>4</v>
      </c>
      <c r="G4" s="1" t="s">
        <v>3</v>
      </c>
      <c r="H4" s="1" t="s">
        <v>5</v>
      </c>
      <c r="I4" s="1" t="s">
        <v>3</v>
      </c>
      <c r="J4" s="1" t="s">
        <v>6</v>
      </c>
      <c r="K4" s="1" t="s">
        <v>3</v>
      </c>
      <c r="L4" s="1" t="s">
        <v>7</v>
      </c>
      <c r="M4" s="1" t="s">
        <v>3</v>
      </c>
      <c r="N4" s="1" t="s">
        <v>8</v>
      </c>
      <c r="O4" s="1" t="s">
        <v>3</v>
      </c>
      <c r="P4" s="1" t="s">
        <v>12</v>
      </c>
      <c r="Q4" s="1" t="s">
        <v>3</v>
      </c>
      <c r="R4" s="1" t="s">
        <v>13</v>
      </c>
      <c r="S4" s="1" t="s">
        <v>3</v>
      </c>
      <c r="T4" s="1" t="s">
        <v>14</v>
      </c>
      <c r="U4" s="1" t="s">
        <v>3</v>
      </c>
      <c r="V4" s="1" t="s">
        <v>15</v>
      </c>
      <c r="W4" s="1" t="s">
        <v>16</v>
      </c>
    </row>
    <row r="5" spans="1:23">
      <c r="A5" t="s">
        <v>19</v>
      </c>
      <c r="B5" t="s">
        <v>57</v>
      </c>
      <c r="C5">
        <v>103</v>
      </c>
      <c r="D5">
        <v>8</v>
      </c>
      <c r="E5">
        <f>D5</f>
        <v>8</v>
      </c>
      <c r="F5">
        <v>15</v>
      </c>
      <c r="G5">
        <f>F5-D5</f>
        <v>7</v>
      </c>
      <c r="H5">
        <v>29</v>
      </c>
      <c r="I5">
        <f>H5-F5</f>
        <v>14</v>
      </c>
      <c r="J5">
        <v>35</v>
      </c>
      <c r="K5">
        <f>J5-H5</f>
        <v>6</v>
      </c>
      <c r="L5" s="2">
        <v>53</v>
      </c>
      <c r="M5">
        <f>L5-J5</f>
        <v>18</v>
      </c>
      <c r="N5" s="2">
        <v>68</v>
      </c>
      <c r="O5">
        <f>N5-L5</f>
        <v>15</v>
      </c>
      <c r="P5" s="2">
        <v>82</v>
      </c>
      <c r="Q5">
        <f>P5-N5</f>
        <v>14</v>
      </c>
      <c r="R5" s="2">
        <v>101</v>
      </c>
      <c r="S5">
        <f>R5-P5</f>
        <v>19</v>
      </c>
      <c r="T5" s="2">
        <v>103</v>
      </c>
      <c r="U5">
        <f>T5-R5</f>
        <v>2</v>
      </c>
      <c r="V5">
        <f>MAX($D5,$F5,$H5,$J5,$L5,$N5,$P5,$R5,$T5)</f>
        <v>103</v>
      </c>
      <c r="W5" s="3" t="str">
        <f>LEFT(INDEX($D$4:$U$4,MATCH($V5,$D5:$U5,0)),1)</f>
        <v>9</v>
      </c>
    </row>
    <row r="6" spans="1:23">
      <c r="A6" t="s">
        <v>41</v>
      </c>
      <c r="B6" t="s">
        <v>61</v>
      </c>
      <c r="C6">
        <v>109</v>
      </c>
      <c r="D6">
        <v>5</v>
      </c>
      <c r="E6">
        <f t="shared" ref="E6:E20" si="0">D6</f>
        <v>5</v>
      </c>
      <c r="F6">
        <v>21</v>
      </c>
      <c r="G6">
        <f t="shared" ref="G6:G20" si="1">F6-D6</f>
        <v>16</v>
      </c>
      <c r="H6">
        <v>37</v>
      </c>
      <c r="I6">
        <f t="shared" ref="I6:U20" si="2">H6-F6</f>
        <v>16</v>
      </c>
      <c r="J6">
        <v>45</v>
      </c>
      <c r="K6">
        <f t="shared" si="2"/>
        <v>8</v>
      </c>
      <c r="L6" s="2">
        <v>58</v>
      </c>
      <c r="M6">
        <f t="shared" si="2"/>
        <v>13</v>
      </c>
      <c r="N6" s="2">
        <v>64</v>
      </c>
      <c r="O6">
        <f t="shared" si="2"/>
        <v>6</v>
      </c>
      <c r="P6" s="2">
        <v>73</v>
      </c>
      <c r="Q6">
        <f t="shared" si="2"/>
        <v>9</v>
      </c>
      <c r="R6" s="2">
        <v>80</v>
      </c>
      <c r="S6">
        <f t="shared" si="2"/>
        <v>7</v>
      </c>
      <c r="T6" s="2">
        <v>87</v>
      </c>
      <c r="U6">
        <f t="shared" si="2"/>
        <v>7</v>
      </c>
      <c r="V6">
        <f t="shared" ref="V6:V20" si="3">MAX($D6,$F6,$H6,$J6,$L6,$N6,$P6,$R6,$T6)</f>
        <v>87</v>
      </c>
      <c r="W6" s="3" t="str">
        <f t="shared" ref="W6:W20" si="4">LEFT(INDEX($D$4:$U$4,MATCH($V6,$D6:$U6,0)),1)</f>
        <v>9</v>
      </c>
    </row>
    <row r="7" spans="1:23">
      <c r="A7" t="s">
        <v>42</v>
      </c>
      <c r="B7" t="s">
        <v>100</v>
      </c>
      <c r="C7">
        <v>127</v>
      </c>
      <c r="D7">
        <v>17</v>
      </c>
      <c r="E7">
        <f t="shared" si="0"/>
        <v>17</v>
      </c>
      <c r="F7">
        <v>33</v>
      </c>
      <c r="G7">
        <f t="shared" si="1"/>
        <v>16</v>
      </c>
      <c r="H7">
        <v>47</v>
      </c>
      <c r="I7">
        <f t="shared" si="2"/>
        <v>14</v>
      </c>
      <c r="J7">
        <v>61</v>
      </c>
      <c r="K7">
        <f t="shared" si="2"/>
        <v>14</v>
      </c>
      <c r="L7" s="2">
        <v>77</v>
      </c>
      <c r="M7">
        <f t="shared" si="2"/>
        <v>16</v>
      </c>
      <c r="N7" s="2">
        <v>89</v>
      </c>
      <c r="O7">
        <f t="shared" si="2"/>
        <v>12</v>
      </c>
      <c r="P7" s="2">
        <v>101</v>
      </c>
      <c r="Q7">
        <f t="shared" si="2"/>
        <v>12</v>
      </c>
      <c r="R7" s="2">
        <v>107</v>
      </c>
      <c r="S7">
        <f t="shared" si="2"/>
        <v>6</v>
      </c>
      <c r="T7" s="2">
        <v>118</v>
      </c>
      <c r="U7">
        <f t="shared" si="2"/>
        <v>11</v>
      </c>
      <c r="V7">
        <f t="shared" si="3"/>
        <v>118</v>
      </c>
      <c r="W7" s="3" t="str">
        <f t="shared" si="4"/>
        <v>9</v>
      </c>
    </row>
    <row r="8" spans="1:23">
      <c r="A8" t="s">
        <v>34</v>
      </c>
      <c r="B8" t="s">
        <v>99</v>
      </c>
      <c r="C8">
        <v>98</v>
      </c>
      <c r="D8">
        <v>18</v>
      </c>
      <c r="E8">
        <f t="shared" si="0"/>
        <v>18</v>
      </c>
      <c r="F8">
        <v>36</v>
      </c>
      <c r="G8">
        <f t="shared" si="1"/>
        <v>18</v>
      </c>
      <c r="H8">
        <v>50</v>
      </c>
      <c r="I8">
        <f t="shared" si="2"/>
        <v>14</v>
      </c>
      <c r="J8">
        <v>61</v>
      </c>
      <c r="K8">
        <f t="shared" si="2"/>
        <v>11</v>
      </c>
      <c r="L8" s="2">
        <v>79</v>
      </c>
      <c r="M8">
        <f t="shared" si="2"/>
        <v>18</v>
      </c>
      <c r="N8" s="2">
        <v>95</v>
      </c>
      <c r="O8">
        <f t="shared" si="2"/>
        <v>16</v>
      </c>
      <c r="P8" s="2">
        <v>98</v>
      </c>
      <c r="Q8">
        <f t="shared" si="2"/>
        <v>3</v>
      </c>
      <c r="R8" s="2">
        <v>98</v>
      </c>
      <c r="S8">
        <f t="shared" si="2"/>
        <v>0</v>
      </c>
      <c r="T8" s="2">
        <v>98</v>
      </c>
      <c r="U8">
        <f t="shared" si="2"/>
        <v>0</v>
      </c>
      <c r="V8">
        <f t="shared" si="3"/>
        <v>98</v>
      </c>
      <c r="W8" s="3" t="str">
        <f t="shared" si="4"/>
        <v>7</v>
      </c>
    </row>
    <row r="9" spans="1:23">
      <c r="A9" t="s">
        <v>43</v>
      </c>
      <c r="B9" t="s">
        <v>49</v>
      </c>
      <c r="C9">
        <v>136</v>
      </c>
      <c r="D9">
        <v>15</v>
      </c>
      <c r="E9">
        <f t="shared" si="0"/>
        <v>15</v>
      </c>
      <c r="F9">
        <v>32</v>
      </c>
      <c r="G9">
        <f t="shared" si="1"/>
        <v>17</v>
      </c>
      <c r="H9">
        <v>47</v>
      </c>
      <c r="I9">
        <f t="shared" si="2"/>
        <v>15</v>
      </c>
      <c r="J9">
        <v>57</v>
      </c>
      <c r="K9">
        <f t="shared" si="2"/>
        <v>10</v>
      </c>
      <c r="L9" s="2">
        <v>70</v>
      </c>
      <c r="M9">
        <f t="shared" si="2"/>
        <v>13</v>
      </c>
      <c r="N9" s="2">
        <v>78</v>
      </c>
      <c r="O9">
        <f t="shared" si="2"/>
        <v>8</v>
      </c>
      <c r="P9" s="2">
        <v>93</v>
      </c>
      <c r="Q9">
        <f t="shared" si="2"/>
        <v>15</v>
      </c>
      <c r="R9" s="2">
        <v>101</v>
      </c>
      <c r="S9">
        <f t="shared" si="2"/>
        <v>8</v>
      </c>
      <c r="T9" s="2">
        <v>111</v>
      </c>
      <c r="U9">
        <f t="shared" si="2"/>
        <v>10</v>
      </c>
      <c r="V9">
        <f t="shared" si="3"/>
        <v>111</v>
      </c>
      <c r="W9" s="3" t="str">
        <f t="shared" si="4"/>
        <v>9</v>
      </c>
    </row>
    <row r="10" spans="1:23">
      <c r="A10" t="s">
        <v>38</v>
      </c>
      <c r="B10" t="s">
        <v>112</v>
      </c>
      <c r="C10">
        <v>153</v>
      </c>
      <c r="D10">
        <v>7</v>
      </c>
      <c r="E10">
        <f t="shared" si="0"/>
        <v>7</v>
      </c>
      <c r="F10">
        <v>18</v>
      </c>
      <c r="G10">
        <f t="shared" si="1"/>
        <v>11</v>
      </c>
      <c r="H10">
        <v>24</v>
      </c>
      <c r="I10">
        <f t="shared" si="2"/>
        <v>6</v>
      </c>
      <c r="J10">
        <v>37</v>
      </c>
      <c r="K10">
        <f t="shared" si="2"/>
        <v>13</v>
      </c>
      <c r="L10" s="2">
        <v>51</v>
      </c>
      <c r="M10">
        <f t="shared" si="2"/>
        <v>14</v>
      </c>
      <c r="N10" s="2">
        <v>62</v>
      </c>
      <c r="O10">
        <f t="shared" si="2"/>
        <v>11</v>
      </c>
      <c r="P10" s="2">
        <v>73</v>
      </c>
      <c r="Q10">
        <f t="shared" si="2"/>
        <v>11</v>
      </c>
      <c r="R10" s="2">
        <v>91</v>
      </c>
      <c r="S10">
        <f t="shared" si="2"/>
        <v>18</v>
      </c>
      <c r="T10" s="2">
        <v>109</v>
      </c>
      <c r="U10">
        <f t="shared" si="2"/>
        <v>18</v>
      </c>
      <c r="V10">
        <f t="shared" si="3"/>
        <v>109</v>
      </c>
      <c r="W10" s="3" t="str">
        <f t="shared" si="4"/>
        <v>9</v>
      </c>
    </row>
    <row r="11" spans="1:23">
      <c r="A11" t="s">
        <v>20</v>
      </c>
      <c r="B11" t="s">
        <v>60</v>
      </c>
      <c r="C11">
        <v>110</v>
      </c>
      <c r="D11">
        <v>6</v>
      </c>
      <c r="E11">
        <f t="shared" si="0"/>
        <v>6</v>
      </c>
      <c r="F11">
        <v>12</v>
      </c>
      <c r="G11">
        <f t="shared" si="1"/>
        <v>6</v>
      </c>
      <c r="H11">
        <v>27</v>
      </c>
      <c r="I11">
        <f t="shared" si="2"/>
        <v>15</v>
      </c>
      <c r="J11">
        <v>41</v>
      </c>
      <c r="K11">
        <f t="shared" si="2"/>
        <v>14</v>
      </c>
      <c r="L11" s="2">
        <v>52</v>
      </c>
      <c r="M11">
        <f t="shared" si="2"/>
        <v>11</v>
      </c>
      <c r="N11" s="2">
        <v>68</v>
      </c>
      <c r="O11">
        <f t="shared" si="2"/>
        <v>16</v>
      </c>
      <c r="P11" s="2">
        <v>75</v>
      </c>
      <c r="Q11">
        <f t="shared" si="2"/>
        <v>7</v>
      </c>
      <c r="R11" s="2">
        <v>81</v>
      </c>
      <c r="S11">
        <f t="shared" si="2"/>
        <v>6</v>
      </c>
      <c r="T11" s="2">
        <v>93</v>
      </c>
      <c r="U11">
        <f t="shared" si="2"/>
        <v>12</v>
      </c>
      <c r="V11">
        <f t="shared" si="3"/>
        <v>93</v>
      </c>
      <c r="W11" s="3" t="str">
        <f t="shared" si="4"/>
        <v>9</v>
      </c>
    </row>
    <row r="12" spans="1:23">
      <c r="A12" t="s">
        <v>44</v>
      </c>
      <c r="B12" t="s">
        <v>53</v>
      </c>
      <c r="C12">
        <v>70</v>
      </c>
      <c r="D12">
        <v>10</v>
      </c>
      <c r="E12">
        <f t="shared" si="0"/>
        <v>10</v>
      </c>
      <c r="F12">
        <v>30</v>
      </c>
      <c r="G12">
        <f t="shared" si="1"/>
        <v>20</v>
      </c>
      <c r="H12">
        <v>41</v>
      </c>
      <c r="I12">
        <f t="shared" si="2"/>
        <v>11</v>
      </c>
      <c r="J12">
        <v>60</v>
      </c>
      <c r="K12">
        <f t="shared" si="2"/>
        <v>19</v>
      </c>
      <c r="L12" s="2">
        <v>70</v>
      </c>
      <c r="M12">
        <f t="shared" si="2"/>
        <v>10</v>
      </c>
      <c r="N12" s="2">
        <v>70</v>
      </c>
      <c r="O12">
        <f t="shared" si="2"/>
        <v>0</v>
      </c>
      <c r="P12" s="2">
        <v>70</v>
      </c>
      <c r="Q12">
        <f t="shared" si="2"/>
        <v>0</v>
      </c>
      <c r="R12" s="2">
        <v>70</v>
      </c>
      <c r="S12">
        <f t="shared" si="2"/>
        <v>0</v>
      </c>
      <c r="T12" s="2">
        <v>70</v>
      </c>
      <c r="U12">
        <f t="shared" si="2"/>
        <v>0</v>
      </c>
      <c r="V12">
        <f t="shared" si="3"/>
        <v>70</v>
      </c>
      <c r="W12" s="3" t="str">
        <f t="shared" si="4"/>
        <v>5</v>
      </c>
    </row>
    <row r="13" spans="1:23">
      <c r="A13" t="s">
        <v>45</v>
      </c>
      <c r="B13" t="s">
        <v>109</v>
      </c>
      <c r="C13">
        <v>134</v>
      </c>
      <c r="D13">
        <v>5</v>
      </c>
      <c r="E13">
        <f t="shared" si="0"/>
        <v>5</v>
      </c>
      <c r="F13">
        <v>22</v>
      </c>
      <c r="G13">
        <f t="shared" si="1"/>
        <v>17</v>
      </c>
      <c r="H13">
        <v>39</v>
      </c>
      <c r="I13">
        <f t="shared" si="2"/>
        <v>17</v>
      </c>
      <c r="J13">
        <v>45</v>
      </c>
      <c r="K13">
        <f t="shared" si="2"/>
        <v>6</v>
      </c>
      <c r="L13" s="2">
        <v>56</v>
      </c>
      <c r="M13">
        <f t="shared" si="2"/>
        <v>11</v>
      </c>
      <c r="N13" s="2">
        <v>70</v>
      </c>
      <c r="O13">
        <f t="shared" si="2"/>
        <v>14</v>
      </c>
      <c r="P13" s="2">
        <v>87</v>
      </c>
      <c r="Q13">
        <f t="shared" si="2"/>
        <v>17</v>
      </c>
      <c r="R13" s="2">
        <v>104</v>
      </c>
      <c r="S13">
        <f t="shared" si="2"/>
        <v>17</v>
      </c>
      <c r="T13" s="2">
        <v>112</v>
      </c>
      <c r="U13">
        <f t="shared" si="2"/>
        <v>8</v>
      </c>
      <c r="V13">
        <f t="shared" si="3"/>
        <v>112</v>
      </c>
      <c r="W13" s="3" t="str">
        <f t="shared" si="4"/>
        <v>9</v>
      </c>
    </row>
    <row r="14" spans="1:23">
      <c r="A14" t="s">
        <v>37</v>
      </c>
      <c r="B14" t="s">
        <v>111</v>
      </c>
      <c r="C14">
        <v>116</v>
      </c>
      <c r="D14">
        <v>18</v>
      </c>
      <c r="E14">
        <f t="shared" si="0"/>
        <v>18</v>
      </c>
      <c r="F14">
        <v>35</v>
      </c>
      <c r="G14">
        <f t="shared" si="1"/>
        <v>17</v>
      </c>
      <c r="H14">
        <v>54</v>
      </c>
      <c r="I14">
        <f t="shared" si="2"/>
        <v>19</v>
      </c>
      <c r="J14">
        <v>66</v>
      </c>
      <c r="K14">
        <f t="shared" si="2"/>
        <v>12</v>
      </c>
      <c r="L14" s="2">
        <v>76</v>
      </c>
      <c r="M14">
        <f t="shared" si="2"/>
        <v>10</v>
      </c>
      <c r="N14" s="2">
        <v>95</v>
      </c>
      <c r="O14">
        <f t="shared" si="2"/>
        <v>19</v>
      </c>
      <c r="P14" s="2">
        <v>101</v>
      </c>
      <c r="Q14">
        <f t="shared" si="2"/>
        <v>6</v>
      </c>
      <c r="R14" s="2">
        <v>115</v>
      </c>
      <c r="S14">
        <f t="shared" si="2"/>
        <v>14</v>
      </c>
      <c r="T14" s="2">
        <v>116</v>
      </c>
      <c r="U14">
        <f t="shared" si="2"/>
        <v>1</v>
      </c>
      <c r="V14">
        <f t="shared" si="3"/>
        <v>116</v>
      </c>
      <c r="W14" s="3" t="str">
        <f t="shared" si="4"/>
        <v>9</v>
      </c>
    </row>
    <row r="15" spans="1:23">
      <c r="A15" t="s">
        <v>25</v>
      </c>
      <c r="B15" t="s">
        <v>103</v>
      </c>
      <c r="C15">
        <v>80</v>
      </c>
      <c r="D15">
        <v>14</v>
      </c>
      <c r="E15">
        <f t="shared" si="0"/>
        <v>14</v>
      </c>
      <c r="F15">
        <v>32</v>
      </c>
      <c r="G15">
        <f t="shared" si="1"/>
        <v>18</v>
      </c>
      <c r="H15">
        <v>48</v>
      </c>
      <c r="I15">
        <f t="shared" si="2"/>
        <v>16</v>
      </c>
      <c r="J15">
        <v>60</v>
      </c>
      <c r="K15">
        <f t="shared" si="2"/>
        <v>12</v>
      </c>
      <c r="L15" s="2">
        <v>70</v>
      </c>
      <c r="M15">
        <f t="shared" si="2"/>
        <v>10</v>
      </c>
      <c r="N15" s="2">
        <v>76</v>
      </c>
      <c r="O15">
        <f t="shared" si="2"/>
        <v>6</v>
      </c>
      <c r="P15" s="2">
        <v>80</v>
      </c>
      <c r="Q15">
        <f t="shared" si="2"/>
        <v>4</v>
      </c>
      <c r="R15" s="2">
        <v>80</v>
      </c>
      <c r="S15">
        <f t="shared" si="2"/>
        <v>0</v>
      </c>
      <c r="T15" s="2">
        <v>80</v>
      </c>
      <c r="U15">
        <f t="shared" si="2"/>
        <v>0</v>
      </c>
      <c r="V15">
        <f t="shared" si="3"/>
        <v>80</v>
      </c>
      <c r="W15" s="3" t="str">
        <f t="shared" si="4"/>
        <v>7</v>
      </c>
    </row>
    <row r="16" spans="1:23">
      <c r="A16" t="s">
        <v>46</v>
      </c>
      <c r="B16" t="s">
        <v>108</v>
      </c>
      <c r="C16">
        <v>160</v>
      </c>
      <c r="D16">
        <v>3</v>
      </c>
      <c r="E16">
        <f t="shared" si="0"/>
        <v>3</v>
      </c>
      <c r="F16">
        <v>18</v>
      </c>
      <c r="G16">
        <f t="shared" si="1"/>
        <v>15</v>
      </c>
      <c r="H16">
        <v>25</v>
      </c>
      <c r="I16">
        <f t="shared" si="2"/>
        <v>7</v>
      </c>
      <c r="J16">
        <v>38</v>
      </c>
      <c r="K16">
        <f t="shared" si="2"/>
        <v>13</v>
      </c>
      <c r="L16" s="2">
        <v>48</v>
      </c>
      <c r="M16">
        <f t="shared" si="2"/>
        <v>10</v>
      </c>
      <c r="N16" s="2">
        <v>54</v>
      </c>
      <c r="O16">
        <f t="shared" si="2"/>
        <v>6</v>
      </c>
      <c r="P16" s="2">
        <v>62</v>
      </c>
      <c r="Q16">
        <f t="shared" si="2"/>
        <v>8</v>
      </c>
      <c r="R16" s="2">
        <v>71</v>
      </c>
      <c r="S16">
        <f t="shared" si="2"/>
        <v>9</v>
      </c>
      <c r="T16" s="2">
        <v>78</v>
      </c>
      <c r="U16">
        <f t="shared" si="2"/>
        <v>7</v>
      </c>
      <c r="V16">
        <f t="shared" si="3"/>
        <v>78</v>
      </c>
      <c r="W16" s="3" t="str">
        <f t="shared" si="4"/>
        <v>9</v>
      </c>
    </row>
    <row r="17" spans="1:23">
      <c r="A17" t="s">
        <v>33</v>
      </c>
      <c r="B17" t="s">
        <v>52</v>
      </c>
      <c r="C17">
        <v>138</v>
      </c>
      <c r="D17">
        <v>15</v>
      </c>
      <c r="E17">
        <f t="shared" si="0"/>
        <v>15</v>
      </c>
      <c r="F17">
        <v>32</v>
      </c>
      <c r="G17">
        <f t="shared" si="1"/>
        <v>17</v>
      </c>
      <c r="H17">
        <v>48</v>
      </c>
      <c r="I17">
        <f t="shared" si="2"/>
        <v>16</v>
      </c>
      <c r="J17">
        <v>59</v>
      </c>
      <c r="K17">
        <f t="shared" si="2"/>
        <v>11</v>
      </c>
      <c r="L17" s="2">
        <v>76</v>
      </c>
      <c r="M17">
        <f t="shared" si="2"/>
        <v>17</v>
      </c>
      <c r="N17" s="2">
        <v>96</v>
      </c>
      <c r="O17">
        <f t="shared" si="2"/>
        <v>20</v>
      </c>
      <c r="P17" s="2">
        <v>113</v>
      </c>
      <c r="Q17">
        <f t="shared" si="2"/>
        <v>17</v>
      </c>
      <c r="R17" s="2">
        <v>126</v>
      </c>
      <c r="S17">
        <f t="shared" si="2"/>
        <v>13</v>
      </c>
      <c r="T17" s="2">
        <v>132</v>
      </c>
      <c r="U17">
        <f t="shared" si="2"/>
        <v>6</v>
      </c>
      <c r="V17">
        <f t="shared" si="3"/>
        <v>132</v>
      </c>
      <c r="W17" s="3" t="str">
        <f t="shared" si="4"/>
        <v>9</v>
      </c>
    </row>
    <row r="18" spans="1:23">
      <c r="A18" t="s">
        <v>29</v>
      </c>
      <c r="B18" t="s">
        <v>106</v>
      </c>
      <c r="C18">
        <v>92</v>
      </c>
      <c r="D18">
        <v>7</v>
      </c>
      <c r="E18">
        <f t="shared" si="0"/>
        <v>7</v>
      </c>
      <c r="F18">
        <v>18</v>
      </c>
      <c r="G18">
        <f t="shared" si="1"/>
        <v>11</v>
      </c>
      <c r="H18">
        <v>32</v>
      </c>
      <c r="I18">
        <f t="shared" si="2"/>
        <v>14</v>
      </c>
      <c r="J18">
        <v>45</v>
      </c>
      <c r="K18">
        <f t="shared" si="2"/>
        <v>13</v>
      </c>
      <c r="L18" s="2">
        <v>56</v>
      </c>
      <c r="M18">
        <f t="shared" si="2"/>
        <v>11</v>
      </c>
      <c r="N18" s="2">
        <v>68</v>
      </c>
      <c r="O18">
        <f t="shared" si="2"/>
        <v>12</v>
      </c>
      <c r="P18" s="2">
        <v>80</v>
      </c>
      <c r="Q18">
        <f t="shared" si="2"/>
        <v>12</v>
      </c>
      <c r="R18" s="2">
        <v>92</v>
      </c>
      <c r="S18">
        <f t="shared" si="2"/>
        <v>12</v>
      </c>
      <c r="T18" s="2">
        <v>92</v>
      </c>
      <c r="U18">
        <f t="shared" si="2"/>
        <v>0</v>
      </c>
      <c r="V18">
        <f t="shared" si="3"/>
        <v>92</v>
      </c>
      <c r="W18" s="3" t="str">
        <f t="shared" si="4"/>
        <v>8</v>
      </c>
    </row>
    <row r="19" spans="1:23">
      <c r="A19" t="s">
        <v>40</v>
      </c>
      <c r="B19" t="s">
        <v>51</v>
      </c>
      <c r="C19">
        <v>144</v>
      </c>
      <c r="D19">
        <v>19</v>
      </c>
      <c r="E19">
        <f t="shared" si="0"/>
        <v>19</v>
      </c>
      <c r="F19">
        <v>33</v>
      </c>
      <c r="G19">
        <f t="shared" si="1"/>
        <v>14</v>
      </c>
      <c r="H19">
        <v>53</v>
      </c>
      <c r="I19">
        <f t="shared" si="2"/>
        <v>20</v>
      </c>
      <c r="J19">
        <v>70</v>
      </c>
      <c r="K19">
        <f t="shared" si="2"/>
        <v>17</v>
      </c>
      <c r="L19" s="2">
        <v>81</v>
      </c>
      <c r="M19">
        <f t="shared" si="2"/>
        <v>11</v>
      </c>
      <c r="N19" s="2">
        <v>87</v>
      </c>
      <c r="O19">
        <f t="shared" si="2"/>
        <v>6</v>
      </c>
      <c r="P19" s="2">
        <v>100</v>
      </c>
      <c r="Q19">
        <f t="shared" si="2"/>
        <v>13</v>
      </c>
      <c r="R19" s="2">
        <v>119</v>
      </c>
      <c r="S19">
        <f t="shared" si="2"/>
        <v>19</v>
      </c>
      <c r="T19" s="2">
        <v>132</v>
      </c>
      <c r="U19">
        <f t="shared" si="2"/>
        <v>13</v>
      </c>
      <c r="V19">
        <f t="shared" si="3"/>
        <v>132</v>
      </c>
      <c r="W19" s="3" t="str">
        <f t="shared" si="4"/>
        <v>9</v>
      </c>
    </row>
    <row r="20" spans="1:23" ht="15.75" thickBot="1">
      <c r="A20" t="s">
        <v>30</v>
      </c>
      <c r="B20" t="s">
        <v>104</v>
      </c>
      <c r="C20">
        <v>93</v>
      </c>
      <c r="D20">
        <v>10</v>
      </c>
      <c r="E20">
        <f t="shared" si="0"/>
        <v>10</v>
      </c>
      <c r="F20">
        <v>26</v>
      </c>
      <c r="G20">
        <f t="shared" si="1"/>
        <v>16</v>
      </c>
      <c r="H20">
        <v>40</v>
      </c>
      <c r="I20">
        <f t="shared" si="2"/>
        <v>14</v>
      </c>
      <c r="J20">
        <v>55</v>
      </c>
      <c r="K20">
        <f t="shared" si="2"/>
        <v>15</v>
      </c>
      <c r="L20" s="2">
        <v>61</v>
      </c>
      <c r="M20">
        <f t="shared" si="2"/>
        <v>6</v>
      </c>
      <c r="N20" s="2">
        <v>70</v>
      </c>
      <c r="O20">
        <f t="shared" si="2"/>
        <v>9</v>
      </c>
      <c r="P20" s="2">
        <v>79</v>
      </c>
      <c r="Q20">
        <f t="shared" si="2"/>
        <v>9</v>
      </c>
      <c r="R20" s="2">
        <v>86</v>
      </c>
      <c r="S20">
        <f t="shared" si="2"/>
        <v>7</v>
      </c>
      <c r="T20" s="2">
        <v>93</v>
      </c>
      <c r="U20">
        <f t="shared" si="2"/>
        <v>7</v>
      </c>
      <c r="V20">
        <f t="shared" si="3"/>
        <v>93</v>
      </c>
      <c r="W20" s="3" t="str">
        <f t="shared" si="4"/>
        <v>9</v>
      </c>
    </row>
    <row r="21" spans="1:23" ht="15.75" thickTop="1">
      <c r="C21" s="4">
        <f>SUBTOTAL(9,C5:C20)</f>
        <v>1863</v>
      </c>
      <c r="D21" s="4">
        <f>SUBTOTAL(9,D5:D20)</f>
        <v>177</v>
      </c>
      <c r="E21" s="4">
        <f t="shared" ref="E21:V21" si="5">SUBTOTAL(9,E5:E20)</f>
        <v>177</v>
      </c>
      <c r="F21" s="4">
        <f t="shared" si="5"/>
        <v>413</v>
      </c>
      <c r="G21" s="4">
        <f t="shared" si="5"/>
        <v>236</v>
      </c>
      <c r="H21" s="4">
        <f t="shared" si="5"/>
        <v>641</v>
      </c>
      <c r="I21" s="4">
        <f t="shared" si="5"/>
        <v>228</v>
      </c>
      <c r="J21" s="4">
        <f t="shared" si="5"/>
        <v>835</v>
      </c>
      <c r="K21" s="4">
        <f t="shared" si="5"/>
        <v>194</v>
      </c>
      <c r="L21" s="4">
        <f t="shared" si="5"/>
        <v>1034</v>
      </c>
      <c r="M21" s="4">
        <f t="shared" si="5"/>
        <v>199</v>
      </c>
      <c r="N21" s="4">
        <f t="shared" si="5"/>
        <v>1210</v>
      </c>
      <c r="O21" s="4">
        <f t="shared" si="5"/>
        <v>176</v>
      </c>
      <c r="P21" s="4">
        <f t="shared" si="5"/>
        <v>1367</v>
      </c>
      <c r="Q21" s="4">
        <f t="shared" si="5"/>
        <v>157</v>
      </c>
      <c r="R21" s="4">
        <f t="shared" si="5"/>
        <v>1522</v>
      </c>
      <c r="S21" s="4">
        <f t="shared" si="5"/>
        <v>155</v>
      </c>
      <c r="T21" s="4">
        <f t="shared" si="5"/>
        <v>1624</v>
      </c>
      <c r="U21" s="4">
        <f t="shared" si="5"/>
        <v>102</v>
      </c>
      <c r="V21" s="4">
        <f t="shared" si="5"/>
        <v>1624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W20"/>
  <sheetViews>
    <sheetView zoomScale="115" zoomScaleNormal="115" workbookViewId="0">
      <pane xSplit="3" ySplit="4" topLeftCell="D5" activePane="bottomRight" state="frozen"/>
      <selection activeCell="D5" sqref="D5"/>
      <selection pane="topRight" activeCell="D5" sqref="D5"/>
      <selection pane="bottomLeft" activeCell="D5" sqref="D5"/>
      <selection pane="bottomRight"/>
    </sheetView>
  </sheetViews>
  <sheetFormatPr defaultRowHeight="15"/>
  <cols>
    <col min="2" max="2" width="17.28515625" bestFit="1" customWidth="1"/>
    <col min="3" max="3" width="17.28515625" customWidth="1"/>
    <col min="4" max="5" width="9.140625" customWidth="1"/>
  </cols>
  <sheetData>
    <row r="1" spans="1:23">
      <c r="A1" s="1" t="s">
        <v>9</v>
      </c>
      <c r="B1" s="1">
        <f>'Day1'!YearCell</f>
        <v>2018</v>
      </c>
      <c r="C1" s="1" t="s">
        <v>10</v>
      </c>
    </row>
    <row r="2" spans="1:23">
      <c r="A2" s="1" t="s">
        <v>11</v>
      </c>
      <c r="B2" s="1">
        <f>'Day1'!WeekCell</f>
        <v>18</v>
      </c>
      <c r="C2" s="5">
        <f>'Day1'!DateCell+3</f>
        <v>43222</v>
      </c>
    </row>
    <row r="3" spans="1:23">
      <c r="A3" s="1"/>
    </row>
    <row r="4" spans="1:23">
      <c r="A4" s="1" t="s">
        <v>1</v>
      </c>
      <c r="B4" s="1" t="s">
        <v>0</v>
      </c>
      <c r="C4" s="1" t="s">
        <v>32</v>
      </c>
      <c r="D4" s="1" t="s">
        <v>2</v>
      </c>
      <c r="E4" s="1" t="s">
        <v>3</v>
      </c>
      <c r="F4" s="1" t="s">
        <v>4</v>
      </c>
      <c r="G4" s="1" t="s">
        <v>3</v>
      </c>
      <c r="H4" s="1" t="s">
        <v>5</v>
      </c>
      <c r="I4" s="1" t="s">
        <v>3</v>
      </c>
      <c r="J4" s="1" t="s">
        <v>6</v>
      </c>
      <c r="K4" s="1" t="s">
        <v>3</v>
      </c>
      <c r="L4" s="1" t="s">
        <v>7</v>
      </c>
      <c r="M4" s="1" t="s">
        <v>3</v>
      </c>
      <c r="N4" s="1" t="s">
        <v>8</v>
      </c>
      <c r="O4" s="1" t="s">
        <v>3</v>
      </c>
      <c r="P4" s="1" t="s">
        <v>12</v>
      </c>
      <c r="Q4" s="1" t="s">
        <v>3</v>
      </c>
      <c r="R4" s="1" t="s">
        <v>13</v>
      </c>
      <c r="S4" s="1" t="s">
        <v>3</v>
      </c>
      <c r="T4" s="1" t="s">
        <v>14</v>
      </c>
      <c r="U4" s="1" t="s">
        <v>3</v>
      </c>
      <c r="V4" s="1" t="s">
        <v>15</v>
      </c>
      <c r="W4" s="1" t="s">
        <v>16</v>
      </c>
    </row>
    <row r="5" spans="1:23">
      <c r="A5" t="s">
        <v>30</v>
      </c>
      <c r="B5" t="s">
        <v>112</v>
      </c>
      <c r="C5">
        <v>103</v>
      </c>
      <c r="D5">
        <v>8</v>
      </c>
      <c r="E5">
        <f>D5</f>
        <v>8</v>
      </c>
      <c r="F5">
        <v>15</v>
      </c>
      <c r="G5">
        <f>F5-D5</f>
        <v>7</v>
      </c>
      <c r="H5">
        <v>29</v>
      </c>
      <c r="I5">
        <f>H5-F5</f>
        <v>14</v>
      </c>
      <c r="J5">
        <v>35</v>
      </c>
      <c r="K5">
        <f>J5-H5</f>
        <v>6</v>
      </c>
      <c r="L5" s="2">
        <v>53</v>
      </c>
      <c r="M5">
        <f>L5-J5</f>
        <v>18</v>
      </c>
      <c r="N5" s="2">
        <v>68</v>
      </c>
      <c r="O5">
        <f>N5-L5</f>
        <v>15</v>
      </c>
      <c r="P5" s="2">
        <v>82</v>
      </c>
      <c r="Q5">
        <f>P5-N5</f>
        <v>14</v>
      </c>
      <c r="R5" s="2">
        <v>101</v>
      </c>
      <c r="S5">
        <f>R5-P5</f>
        <v>19</v>
      </c>
      <c r="T5" s="2">
        <v>103</v>
      </c>
      <c r="U5">
        <f>T5-R5</f>
        <v>2</v>
      </c>
      <c r="V5">
        <f>MAX($D5,$F5,$H5,$J5,$L5,$N5,$P5,$R5,$T5)</f>
        <v>103</v>
      </c>
      <c r="W5" s="3" t="str">
        <f>LEFT(INDEX($D$4:$U$4,MATCH($V5,$D5:$U5,0)),1)</f>
        <v>9</v>
      </c>
    </row>
    <row r="6" spans="1:23">
      <c r="A6" t="s">
        <v>42</v>
      </c>
      <c r="B6" t="s">
        <v>106</v>
      </c>
      <c r="C6">
        <v>109</v>
      </c>
      <c r="D6">
        <v>5</v>
      </c>
      <c r="E6">
        <f t="shared" ref="E6:E19" si="0">D6</f>
        <v>5</v>
      </c>
      <c r="F6">
        <v>21</v>
      </c>
      <c r="G6">
        <f t="shared" ref="G6:G19" si="1">F6-D6</f>
        <v>16</v>
      </c>
      <c r="H6">
        <v>37</v>
      </c>
      <c r="I6">
        <f t="shared" ref="I6:U19" si="2">H6-F6</f>
        <v>16</v>
      </c>
      <c r="J6">
        <v>45</v>
      </c>
      <c r="K6">
        <f t="shared" si="2"/>
        <v>8</v>
      </c>
      <c r="L6" s="2">
        <v>58</v>
      </c>
      <c r="M6">
        <f t="shared" si="2"/>
        <v>13</v>
      </c>
      <c r="N6" s="2">
        <v>64</v>
      </c>
      <c r="O6">
        <f t="shared" si="2"/>
        <v>6</v>
      </c>
      <c r="P6" s="2">
        <v>73</v>
      </c>
      <c r="Q6">
        <f t="shared" si="2"/>
        <v>9</v>
      </c>
      <c r="R6" s="2">
        <v>80</v>
      </c>
      <c r="S6">
        <f t="shared" si="2"/>
        <v>7</v>
      </c>
      <c r="T6" s="2">
        <v>87</v>
      </c>
      <c r="U6">
        <f t="shared" si="2"/>
        <v>7</v>
      </c>
      <c r="V6">
        <f t="shared" ref="V6:V19" si="3">MAX($D6,$F6,$H6,$J6,$L6,$N6,$P6,$R6,$T6)</f>
        <v>87</v>
      </c>
      <c r="W6" s="3" t="str">
        <f t="shared" ref="W6:W19" si="4">LEFT(INDEX($D$4:$U$4,MATCH($V6,$D6:$U6,0)),1)</f>
        <v>9</v>
      </c>
    </row>
    <row r="7" spans="1:23">
      <c r="A7" t="s">
        <v>21</v>
      </c>
      <c r="B7" t="s">
        <v>48</v>
      </c>
      <c r="C7">
        <v>127</v>
      </c>
      <c r="D7">
        <v>17</v>
      </c>
      <c r="E7">
        <f t="shared" si="0"/>
        <v>17</v>
      </c>
      <c r="F7">
        <v>33</v>
      </c>
      <c r="G7">
        <f t="shared" si="1"/>
        <v>16</v>
      </c>
      <c r="H7">
        <v>47</v>
      </c>
      <c r="I7">
        <f t="shared" si="2"/>
        <v>14</v>
      </c>
      <c r="J7">
        <v>61</v>
      </c>
      <c r="K7">
        <f t="shared" si="2"/>
        <v>14</v>
      </c>
      <c r="L7" s="2">
        <v>77</v>
      </c>
      <c r="M7">
        <f t="shared" si="2"/>
        <v>16</v>
      </c>
      <c r="N7" s="2">
        <v>89</v>
      </c>
      <c r="O7">
        <f t="shared" si="2"/>
        <v>12</v>
      </c>
      <c r="P7" s="2">
        <v>101</v>
      </c>
      <c r="Q7">
        <f t="shared" si="2"/>
        <v>12</v>
      </c>
      <c r="R7" s="2">
        <v>107</v>
      </c>
      <c r="S7">
        <f t="shared" si="2"/>
        <v>6</v>
      </c>
      <c r="T7" s="2">
        <v>118</v>
      </c>
      <c r="U7">
        <f t="shared" si="2"/>
        <v>11</v>
      </c>
      <c r="V7">
        <f t="shared" si="3"/>
        <v>118</v>
      </c>
      <c r="W7" s="3" t="str">
        <f t="shared" si="4"/>
        <v>9</v>
      </c>
    </row>
    <row r="8" spans="1:23">
      <c r="A8" t="s">
        <v>34</v>
      </c>
      <c r="B8" t="s">
        <v>55</v>
      </c>
      <c r="C8">
        <v>98</v>
      </c>
      <c r="D8">
        <v>18</v>
      </c>
      <c r="E8">
        <f t="shared" si="0"/>
        <v>18</v>
      </c>
      <c r="F8">
        <v>36</v>
      </c>
      <c r="G8">
        <f t="shared" si="1"/>
        <v>18</v>
      </c>
      <c r="H8">
        <v>50</v>
      </c>
      <c r="I8">
        <f t="shared" si="2"/>
        <v>14</v>
      </c>
      <c r="J8">
        <v>61</v>
      </c>
      <c r="K8">
        <f t="shared" si="2"/>
        <v>11</v>
      </c>
      <c r="L8" s="2">
        <v>79</v>
      </c>
      <c r="M8">
        <f t="shared" si="2"/>
        <v>18</v>
      </c>
      <c r="N8" s="2">
        <v>95</v>
      </c>
      <c r="O8">
        <f t="shared" si="2"/>
        <v>16</v>
      </c>
      <c r="P8" s="2">
        <v>98</v>
      </c>
      <c r="Q8">
        <f t="shared" si="2"/>
        <v>3</v>
      </c>
      <c r="R8" s="2">
        <v>98</v>
      </c>
      <c r="S8">
        <f t="shared" si="2"/>
        <v>0</v>
      </c>
      <c r="T8" s="2">
        <v>98</v>
      </c>
      <c r="U8">
        <f t="shared" si="2"/>
        <v>0</v>
      </c>
      <c r="V8">
        <f t="shared" si="3"/>
        <v>98</v>
      </c>
      <c r="W8" s="3" t="str">
        <f t="shared" si="4"/>
        <v>7</v>
      </c>
    </row>
    <row r="9" spans="1:23">
      <c r="A9" t="s">
        <v>19</v>
      </c>
      <c r="B9" t="s">
        <v>99</v>
      </c>
      <c r="C9">
        <v>136</v>
      </c>
      <c r="D9">
        <v>15</v>
      </c>
      <c r="E9">
        <f t="shared" si="0"/>
        <v>15</v>
      </c>
      <c r="F9">
        <v>32</v>
      </c>
      <c r="G9">
        <f t="shared" si="1"/>
        <v>17</v>
      </c>
      <c r="H9">
        <v>47</v>
      </c>
      <c r="I9">
        <f t="shared" si="2"/>
        <v>15</v>
      </c>
      <c r="J9">
        <v>57</v>
      </c>
      <c r="K9">
        <f t="shared" si="2"/>
        <v>10</v>
      </c>
      <c r="L9" s="2">
        <v>70</v>
      </c>
      <c r="M9">
        <f t="shared" si="2"/>
        <v>13</v>
      </c>
      <c r="N9" s="2">
        <v>78</v>
      </c>
      <c r="O9">
        <f t="shared" si="2"/>
        <v>8</v>
      </c>
      <c r="P9" s="2">
        <v>93</v>
      </c>
      <c r="Q9">
        <f t="shared" si="2"/>
        <v>15</v>
      </c>
      <c r="R9" s="2">
        <v>101</v>
      </c>
      <c r="S9">
        <f t="shared" si="2"/>
        <v>8</v>
      </c>
      <c r="T9" s="2">
        <v>111</v>
      </c>
      <c r="U9">
        <f t="shared" si="2"/>
        <v>10</v>
      </c>
      <c r="V9">
        <f t="shared" si="3"/>
        <v>111</v>
      </c>
      <c r="W9" s="3" t="str">
        <f t="shared" si="4"/>
        <v>9</v>
      </c>
    </row>
    <row r="10" spans="1:23">
      <c r="A10" t="s">
        <v>46</v>
      </c>
      <c r="B10" t="s">
        <v>56</v>
      </c>
      <c r="C10">
        <v>153</v>
      </c>
      <c r="D10">
        <v>7</v>
      </c>
      <c r="E10">
        <f t="shared" si="0"/>
        <v>7</v>
      </c>
      <c r="F10">
        <v>18</v>
      </c>
      <c r="G10">
        <f t="shared" si="1"/>
        <v>11</v>
      </c>
      <c r="H10">
        <v>24</v>
      </c>
      <c r="I10">
        <f t="shared" si="2"/>
        <v>6</v>
      </c>
      <c r="J10">
        <v>37</v>
      </c>
      <c r="K10">
        <f t="shared" si="2"/>
        <v>13</v>
      </c>
      <c r="L10" s="2">
        <v>51</v>
      </c>
      <c r="M10">
        <f t="shared" si="2"/>
        <v>14</v>
      </c>
      <c r="N10" s="2">
        <v>62</v>
      </c>
      <c r="O10">
        <f t="shared" si="2"/>
        <v>11</v>
      </c>
      <c r="P10" s="2">
        <v>73</v>
      </c>
      <c r="Q10">
        <f t="shared" si="2"/>
        <v>11</v>
      </c>
      <c r="R10" s="2">
        <v>91</v>
      </c>
      <c r="S10">
        <f t="shared" si="2"/>
        <v>18</v>
      </c>
      <c r="T10" s="2">
        <v>109</v>
      </c>
      <c r="U10">
        <f t="shared" si="2"/>
        <v>18</v>
      </c>
      <c r="V10">
        <f t="shared" si="3"/>
        <v>109</v>
      </c>
      <c r="W10" s="3" t="str">
        <f t="shared" si="4"/>
        <v>9</v>
      </c>
    </row>
    <row r="11" spans="1:23">
      <c r="A11" t="s">
        <v>43</v>
      </c>
      <c r="B11" t="s">
        <v>102</v>
      </c>
      <c r="C11">
        <v>110</v>
      </c>
      <c r="D11">
        <v>6</v>
      </c>
      <c r="E11">
        <f t="shared" si="0"/>
        <v>6</v>
      </c>
      <c r="F11">
        <v>12</v>
      </c>
      <c r="G11">
        <f t="shared" si="1"/>
        <v>6</v>
      </c>
      <c r="H11">
        <v>27</v>
      </c>
      <c r="I11">
        <f t="shared" si="2"/>
        <v>15</v>
      </c>
      <c r="J11">
        <v>41</v>
      </c>
      <c r="K11">
        <f t="shared" si="2"/>
        <v>14</v>
      </c>
      <c r="L11" s="2">
        <v>52</v>
      </c>
      <c r="M11">
        <f t="shared" si="2"/>
        <v>11</v>
      </c>
      <c r="N11" s="2">
        <v>68</v>
      </c>
      <c r="O11">
        <f t="shared" si="2"/>
        <v>16</v>
      </c>
      <c r="P11" s="2">
        <v>75</v>
      </c>
      <c r="Q11">
        <f t="shared" si="2"/>
        <v>7</v>
      </c>
      <c r="R11" s="2">
        <v>81</v>
      </c>
      <c r="S11">
        <f t="shared" si="2"/>
        <v>6</v>
      </c>
      <c r="T11" s="2">
        <v>93</v>
      </c>
      <c r="U11">
        <f t="shared" si="2"/>
        <v>12</v>
      </c>
      <c r="V11">
        <f t="shared" si="3"/>
        <v>93</v>
      </c>
      <c r="W11" s="3" t="str">
        <f t="shared" si="4"/>
        <v>9</v>
      </c>
    </row>
    <row r="12" spans="1:23">
      <c r="A12" t="s">
        <v>44</v>
      </c>
      <c r="B12" t="s">
        <v>59</v>
      </c>
      <c r="C12">
        <v>70</v>
      </c>
      <c r="D12">
        <v>10</v>
      </c>
      <c r="E12">
        <f t="shared" si="0"/>
        <v>10</v>
      </c>
      <c r="F12">
        <v>30</v>
      </c>
      <c r="G12">
        <f t="shared" si="1"/>
        <v>20</v>
      </c>
      <c r="H12">
        <v>41</v>
      </c>
      <c r="I12">
        <f t="shared" si="2"/>
        <v>11</v>
      </c>
      <c r="J12">
        <v>60</v>
      </c>
      <c r="K12">
        <f t="shared" si="2"/>
        <v>19</v>
      </c>
      <c r="L12" s="2">
        <v>70</v>
      </c>
      <c r="M12">
        <f t="shared" si="2"/>
        <v>10</v>
      </c>
      <c r="N12" s="2">
        <v>70</v>
      </c>
      <c r="O12">
        <f t="shared" si="2"/>
        <v>0</v>
      </c>
      <c r="P12" s="2">
        <v>70</v>
      </c>
      <c r="Q12">
        <f t="shared" si="2"/>
        <v>0</v>
      </c>
      <c r="R12" s="2">
        <v>70</v>
      </c>
      <c r="S12">
        <f t="shared" si="2"/>
        <v>0</v>
      </c>
      <c r="T12" s="2">
        <v>70</v>
      </c>
      <c r="U12">
        <f t="shared" si="2"/>
        <v>0</v>
      </c>
      <c r="V12">
        <f t="shared" si="3"/>
        <v>70</v>
      </c>
      <c r="W12" s="3" t="str">
        <f t="shared" si="4"/>
        <v>5</v>
      </c>
    </row>
    <row r="13" spans="1:23">
      <c r="A13" t="s">
        <v>25</v>
      </c>
      <c r="B13" t="s">
        <v>51</v>
      </c>
      <c r="C13">
        <v>134</v>
      </c>
      <c r="D13">
        <v>5</v>
      </c>
      <c r="E13">
        <f t="shared" si="0"/>
        <v>5</v>
      </c>
      <c r="F13">
        <v>22</v>
      </c>
      <c r="G13">
        <f t="shared" si="1"/>
        <v>17</v>
      </c>
      <c r="H13">
        <v>39</v>
      </c>
      <c r="I13">
        <f t="shared" si="2"/>
        <v>17</v>
      </c>
      <c r="J13">
        <v>45</v>
      </c>
      <c r="K13">
        <f t="shared" si="2"/>
        <v>6</v>
      </c>
      <c r="L13" s="2">
        <v>56</v>
      </c>
      <c r="M13">
        <f t="shared" si="2"/>
        <v>11</v>
      </c>
      <c r="N13" s="2">
        <v>70</v>
      </c>
      <c r="O13">
        <f t="shared" si="2"/>
        <v>14</v>
      </c>
      <c r="P13" s="2">
        <v>87</v>
      </c>
      <c r="Q13">
        <f t="shared" si="2"/>
        <v>17</v>
      </c>
      <c r="R13" s="2">
        <v>104</v>
      </c>
      <c r="S13">
        <f t="shared" si="2"/>
        <v>17</v>
      </c>
      <c r="T13" s="2">
        <v>112</v>
      </c>
      <c r="U13">
        <f t="shared" si="2"/>
        <v>8</v>
      </c>
      <c r="V13">
        <f t="shared" si="3"/>
        <v>112</v>
      </c>
      <c r="W13" s="3" t="str">
        <f t="shared" si="4"/>
        <v>9</v>
      </c>
    </row>
    <row r="14" spans="1:23">
      <c r="A14" t="s">
        <v>47</v>
      </c>
      <c r="B14" t="s">
        <v>52</v>
      </c>
      <c r="C14">
        <v>116</v>
      </c>
      <c r="D14">
        <v>18</v>
      </c>
      <c r="E14">
        <f t="shared" si="0"/>
        <v>18</v>
      </c>
      <c r="F14">
        <v>35</v>
      </c>
      <c r="G14">
        <f t="shared" si="1"/>
        <v>17</v>
      </c>
      <c r="H14">
        <v>54</v>
      </c>
      <c r="I14">
        <f t="shared" si="2"/>
        <v>19</v>
      </c>
      <c r="J14">
        <v>66</v>
      </c>
      <c r="K14">
        <f t="shared" si="2"/>
        <v>12</v>
      </c>
      <c r="L14" s="2">
        <v>76</v>
      </c>
      <c r="M14">
        <f t="shared" si="2"/>
        <v>10</v>
      </c>
      <c r="N14" s="2">
        <v>95</v>
      </c>
      <c r="O14">
        <f t="shared" si="2"/>
        <v>19</v>
      </c>
      <c r="P14" s="2">
        <v>101</v>
      </c>
      <c r="Q14">
        <f t="shared" si="2"/>
        <v>6</v>
      </c>
      <c r="R14" s="2">
        <v>115</v>
      </c>
      <c r="S14">
        <f t="shared" si="2"/>
        <v>14</v>
      </c>
      <c r="T14" s="2">
        <v>116</v>
      </c>
      <c r="U14">
        <f t="shared" si="2"/>
        <v>1</v>
      </c>
      <c r="V14">
        <f t="shared" si="3"/>
        <v>116</v>
      </c>
      <c r="W14" s="3" t="str">
        <f t="shared" si="4"/>
        <v>9</v>
      </c>
    </row>
    <row r="15" spans="1:23">
      <c r="A15" t="s">
        <v>29</v>
      </c>
      <c r="B15" t="s">
        <v>61</v>
      </c>
      <c r="C15">
        <v>80</v>
      </c>
      <c r="D15">
        <v>14</v>
      </c>
      <c r="E15">
        <f t="shared" si="0"/>
        <v>14</v>
      </c>
      <c r="F15">
        <v>32</v>
      </c>
      <c r="G15">
        <f t="shared" si="1"/>
        <v>18</v>
      </c>
      <c r="H15">
        <v>48</v>
      </c>
      <c r="I15">
        <f t="shared" si="2"/>
        <v>16</v>
      </c>
      <c r="J15">
        <v>60</v>
      </c>
      <c r="K15">
        <f t="shared" si="2"/>
        <v>12</v>
      </c>
      <c r="L15" s="2">
        <v>70</v>
      </c>
      <c r="M15">
        <f t="shared" si="2"/>
        <v>10</v>
      </c>
      <c r="N15" s="2">
        <v>76</v>
      </c>
      <c r="O15">
        <f t="shared" si="2"/>
        <v>6</v>
      </c>
      <c r="P15" s="2">
        <v>80</v>
      </c>
      <c r="Q15">
        <f t="shared" si="2"/>
        <v>4</v>
      </c>
      <c r="R15" s="2">
        <v>80</v>
      </c>
      <c r="S15">
        <f t="shared" si="2"/>
        <v>0</v>
      </c>
      <c r="T15" s="2">
        <v>80</v>
      </c>
      <c r="U15">
        <f t="shared" si="2"/>
        <v>0</v>
      </c>
      <c r="V15">
        <f t="shared" si="3"/>
        <v>80</v>
      </c>
      <c r="W15" s="3" t="str">
        <f t="shared" si="4"/>
        <v>7</v>
      </c>
    </row>
    <row r="16" spans="1:23">
      <c r="A16" t="s">
        <v>17</v>
      </c>
      <c r="B16" t="s">
        <v>111</v>
      </c>
      <c r="C16">
        <v>160</v>
      </c>
      <c r="D16">
        <v>3</v>
      </c>
      <c r="E16">
        <f t="shared" si="0"/>
        <v>3</v>
      </c>
      <c r="F16">
        <v>18</v>
      </c>
      <c r="G16">
        <f t="shared" si="1"/>
        <v>15</v>
      </c>
      <c r="H16">
        <v>25</v>
      </c>
      <c r="I16">
        <f t="shared" si="2"/>
        <v>7</v>
      </c>
      <c r="J16">
        <v>38</v>
      </c>
      <c r="K16">
        <f t="shared" si="2"/>
        <v>13</v>
      </c>
      <c r="L16" s="2">
        <v>48</v>
      </c>
      <c r="M16">
        <f t="shared" si="2"/>
        <v>10</v>
      </c>
      <c r="N16" s="2">
        <v>54</v>
      </c>
      <c r="O16">
        <f t="shared" si="2"/>
        <v>6</v>
      </c>
      <c r="P16" s="2">
        <v>62</v>
      </c>
      <c r="Q16">
        <f t="shared" si="2"/>
        <v>8</v>
      </c>
      <c r="R16" s="2">
        <v>71</v>
      </c>
      <c r="S16">
        <f t="shared" si="2"/>
        <v>9</v>
      </c>
      <c r="T16" s="2">
        <v>78</v>
      </c>
      <c r="U16">
        <f t="shared" si="2"/>
        <v>7</v>
      </c>
      <c r="V16">
        <f t="shared" si="3"/>
        <v>78</v>
      </c>
      <c r="W16" s="3" t="str">
        <f t="shared" si="4"/>
        <v>9</v>
      </c>
    </row>
    <row r="17" spans="1:23">
      <c r="A17" t="s">
        <v>45</v>
      </c>
      <c r="B17" t="s">
        <v>100</v>
      </c>
      <c r="C17">
        <v>138</v>
      </c>
      <c r="D17">
        <v>15</v>
      </c>
      <c r="E17">
        <f t="shared" si="0"/>
        <v>15</v>
      </c>
      <c r="F17">
        <v>32</v>
      </c>
      <c r="G17">
        <f t="shared" si="1"/>
        <v>17</v>
      </c>
      <c r="H17">
        <v>48</v>
      </c>
      <c r="I17">
        <f t="shared" si="2"/>
        <v>16</v>
      </c>
      <c r="J17">
        <v>59</v>
      </c>
      <c r="K17">
        <f t="shared" si="2"/>
        <v>11</v>
      </c>
      <c r="L17" s="2">
        <v>76</v>
      </c>
      <c r="M17">
        <f t="shared" si="2"/>
        <v>17</v>
      </c>
      <c r="N17" s="2">
        <v>96</v>
      </c>
      <c r="O17">
        <f t="shared" si="2"/>
        <v>20</v>
      </c>
      <c r="P17" s="2">
        <v>113</v>
      </c>
      <c r="Q17">
        <f t="shared" si="2"/>
        <v>17</v>
      </c>
      <c r="R17" s="2">
        <v>126</v>
      </c>
      <c r="S17">
        <f t="shared" si="2"/>
        <v>13</v>
      </c>
      <c r="T17" s="2">
        <v>132</v>
      </c>
      <c r="U17">
        <f t="shared" si="2"/>
        <v>6</v>
      </c>
      <c r="V17">
        <f t="shared" si="3"/>
        <v>132</v>
      </c>
      <c r="W17" s="3" t="str">
        <f t="shared" si="4"/>
        <v>9</v>
      </c>
    </row>
    <row r="18" spans="1:23">
      <c r="A18" t="s">
        <v>26</v>
      </c>
      <c r="B18" t="s">
        <v>104</v>
      </c>
      <c r="C18">
        <v>144</v>
      </c>
      <c r="D18">
        <v>19</v>
      </c>
      <c r="E18">
        <f t="shared" si="0"/>
        <v>19</v>
      </c>
      <c r="F18">
        <v>33</v>
      </c>
      <c r="G18">
        <f t="shared" si="1"/>
        <v>14</v>
      </c>
      <c r="H18">
        <v>53</v>
      </c>
      <c r="I18">
        <f t="shared" si="2"/>
        <v>20</v>
      </c>
      <c r="J18">
        <v>70</v>
      </c>
      <c r="K18">
        <f t="shared" si="2"/>
        <v>17</v>
      </c>
      <c r="L18" s="2">
        <v>81</v>
      </c>
      <c r="M18">
        <f t="shared" si="2"/>
        <v>11</v>
      </c>
      <c r="N18" s="2">
        <v>87</v>
      </c>
      <c r="O18">
        <f t="shared" si="2"/>
        <v>6</v>
      </c>
      <c r="P18" s="2">
        <v>100</v>
      </c>
      <c r="Q18">
        <f t="shared" si="2"/>
        <v>13</v>
      </c>
      <c r="R18" s="2">
        <v>119</v>
      </c>
      <c r="S18">
        <f t="shared" si="2"/>
        <v>19</v>
      </c>
      <c r="T18" s="2">
        <v>132</v>
      </c>
      <c r="U18">
        <f t="shared" si="2"/>
        <v>13</v>
      </c>
      <c r="V18">
        <f t="shared" si="3"/>
        <v>132</v>
      </c>
      <c r="W18" s="3" t="str">
        <f t="shared" si="4"/>
        <v>9</v>
      </c>
    </row>
    <row r="19" spans="1:23" ht="15.75" thickBot="1">
      <c r="A19" t="s">
        <v>24</v>
      </c>
      <c r="B19" t="s">
        <v>98</v>
      </c>
      <c r="C19">
        <v>93</v>
      </c>
      <c r="D19">
        <v>10</v>
      </c>
      <c r="E19">
        <f t="shared" si="0"/>
        <v>10</v>
      </c>
      <c r="F19">
        <v>26</v>
      </c>
      <c r="G19">
        <f t="shared" si="1"/>
        <v>16</v>
      </c>
      <c r="H19">
        <v>40</v>
      </c>
      <c r="I19">
        <f t="shared" si="2"/>
        <v>14</v>
      </c>
      <c r="J19">
        <v>55</v>
      </c>
      <c r="K19">
        <f t="shared" si="2"/>
        <v>15</v>
      </c>
      <c r="L19" s="2">
        <v>61</v>
      </c>
      <c r="M19">
        <f t="shared" si="2"/>
        <v>6</v>
      </c>
      <c r="N19" s="2">
        <v>70</v>
      </c>
      <c r="O19">
        <f t="shared" si="2"/>
        <v>9</v>
      </c>
      <c r="P19" s="2">
        <v>79</v>
      </c>
      <c r="Q19">
        <f t="shared" si="2"/>
        <v>9</v>
      </c>
      <c r="R19" s="2">
        <v>86</v>
      </c>
      <c r="S19">
        <f t="shared" si="2"/>
        <v>7</v>
      </c>
      <c r="T19" s="2">
        <v>93</v>
      </c>
      <c r="U19">
        <f t="shared" si="2"/>
        <v>7</v>
      </c>
      <c r="V19">
        <f t="shared" si="3"/>
        <v>93</v>
      </c>
      <c r="W19" s="3" t="str">
        <f t="shared" si="4"/>
        <v>9</v>
      </c>
    </row>
    <row r="20" spans="1:23" ht="15.75" thickTop="1">
      <c r="C20" s="4">
        <f>SUBTOTAL(9,C5:C19)</f>
        <v>1771</v>
      </c>
      <c r="D20" s="4">
        <f>SUBTOTAL(9,D5:D19)</f>
        <v>170</v>
      </c>
      <c r="E20" s="4">
        <f t="shared" ref="E20:V20" si="5">SUBTOTAL(9,E5:E19)</f>
        <v>170</v>
      </c>
      <c r="F20" s="4">
        <f t="shared" si="5"/>
        <v>395</v>
      </c>
      <c r="G20" s="4">
        <f t="shared" si="5"/>
        <v>225</v>
      </c>
      <c r="H20" s="4">
        <f t="shared" si="5"/>
        <v>609</v>
      </c>
      <c r="I20" s="4">
        <f t="shared" si="5"/>
        <v>214</v>
      </c>
      <c r="J20" s="4">
        <f t="shared" si="5"/>
        <v>790</v>
      </c>
      <c r="K20" s="4">
        <f t="shared" si="5"/>
        <v>181</v>
      </c>
      <c r="L20" s="4">
        <f t="shared" si="5"/>
        <v>978</v>
      </c>
      <c r="M20" s="4">
        <f t="shared" si="5"/>
        <v>188</v>
      </c>
      <c r="N20" s="4">
        <f t="shared" si="5"/>
        <v>1142</v>
      </c>
      <c r="O20" s="4">
        <f t="shared" si="5"/>
        <v>164</v>
      </c>
      <c r="P20" s="4">
        <f t="shared" si="5"/>
        <v>1287</v>
      </c>
      <c r="Q20" s="4">
        <f t="shared" si="5"/>
        <v>145</v>
      </c>
      <c r="R20" s="4">
        <f t="shared" si="5"/>
        <v>1430</v>
      </c>
      <c r="S20" s="4">
        <f t="shared" si="5"/>
        <v>143</v>
      </c>
      <c r="T20" s="4">
        <f t="shared" si="5"/>
        <v>1532</v>
      </c>
      <c r="U20" s="4">
        <f t="shared" si="5"/>
        <v>102</v>
      </c>
      <c r="V20" s="4">
        <f t="shared" si="5"/>
        <v>1532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W20"/>
  <sheetViews>
    <sheetView zoomScale="115" zoomScaleNormal="115" workbookViewId="0">
      <pane xSplit="3" ySplit="4" topLeftCell="D5" activePane="bottomRight" state="frozen"/>
      <selection activeCell="D5" sqref="D5"/>
      <selection pane="topRight" activeCell="D5" sqref="D5"/>
      <selection pane="bottomLeft" activeCell="D5" sqref="D5"/>
      <selection pane="bottomRight"/>
    </sheetView>
  </sheetViews>
  <sheetFormatPr defaultRowHeight="15"/>
  <cols>
    <col min="2" max="2" width="17.28515625" bestFit="1" customWidth="1"/>
    <col min="3" max="3" width="17.28515625" customWidth="1"/>
    <col min="4" max="5" width="9.140625" customWidth="1"/>
  </cols>
  <sheetData>
    <row r="1" spans="1:23">
      <c r="A1" s="1" t="s">
        <v>9</v>
      </c>
      <c r="B1" s="1">
        <f>'Day1'!YearCell</f>
        <v>2018</v>
      </c>
      <c r="C1" s="1" t="s">
        <v>10</v>
      </c>
    </row>
    <row r="2" spans="1:23">
      <c r="A2" s="1" t="s">
        <v>11</v>
      </c>
      <c r="B2" s="1">
        <f>'Day1'!WeekCell</f>
        <v>18</v>
      </c>
      <c r="C2" s="5">
        <f>'Day1'!DateCell+4</f>
        <v>43223</v>
      </c>
    </row>
    <row r="3" spans="1:23">
      <c r="A3" s="1"/>
    </row>
    <row r="4" spans="1:23">
      <c r="A4" s="1" t="s">
        <v>1</v>
      </c>
      <c r="B4" s="1" t="s">
        <v>0</v>
      </c>
      <c r="C4" s="1" t="s">
        <v>32</v>
      </c>
      <c r="D4" s="1" t="s">
        <v>2</v>
      </c>
      <c r="E4" s="1" t="s">
        <v>3</v>
      </c>
      <c r="F4" s="1" t="s">
        <v>4</v>
      </c>
      <c r="G4" s="1" t="s">
        <v>3</v>
      </c>
      <c r="H4" s="1" t="s">
        <v>5</v>
      </c>
      <c r="I4" s="1" t="s">
        <v>3</v>
      </c>
      <c r="J4" s="1" t="s">
        <v>6</v>
      </c>
      <c r="K4" s="1" t="s">
        <v>3</v>
      </c>
      <c r="L4" s="1" t="s">
        <v>7</v>
      </c>
      <c r="M4" s="1" t="s">
        <v>3</v>
      </c>
      <c r="N4" s="1" t="s">
        <v>8</v>
      </c>
      <c r="O4" s="1" t="s">
        <v>3</v>
      </c>
      <c r="P4" s="1" t="s">
        <v>12</v>
      </c>
      <c r="Q4" s="1" t="s">
        <v>3</v>
      </c>
      <c r="R4" s="1" t="s">
        <v>13</v>
      </c>
      <c r="S4" s="1" t="s">
        <v>3</v>
      </c>
      <c r="T4" s="1" t="s">
        <v>14</v>
      </c>
      <c r="U4" s="1" t="s">
        <v>3</v>
      </c>
      <c r="V4" s="1" t="s">
        <v>15</v>
      </c>
      <c r="W4" s="1" t="s">
        <v>16</v>
      </c>
    </row>
    <row r="5" spans="1:23">
      <c r="A5" t="s">
        <v>22</v>
      </c>
      <c r="B5" t="s">
        <v>107</v>
      </c>
      <c r="C5">
        <v>103</v>
      </c>
      <c r="D5">
        <v>8</v>
      </c>
      <c r="E5">
        <f>D5</f>
        <v>8</v>
      </c>
      <c r="F5">
        <v>15</v>
      </c>
      <c r="G5">
        <f>F5-D5</f>
        <v>7</v>
      </c>
      <c r="H5">
        <v>29</v>
      </c>
      <c r="I5">
        <f>H5-F5</f>
        <v>14</v>
      </c>
      <c r="J5">
        <v>35</v>
      </c>
      <c r="K5">
        <f>J5-H5</f>
        <v>6</v>
      </c>
      <c r="L5" s="2">
        <v>53</v>
      </c>
      <c r="M5">
        <f>L5-J5</f>
        <v>18</v>
      </c>
      <c r="N5" s="2">
        <v>68</v>
      </c>
      <c r="O5">
        <f>N5-L5</f>
        <v>15</v>
      </c>
      <c r="P5" s="2">
        <v>82</v>
      </c>
      <c r="Q5">
        <f>P5-N5</f>
        <v>14</v>
      </c>
      <c r="R5" s="2">
        <v>101</v>
      </c>
      <c r="S5">
        <f>R5-P5</f>
        <v>19</v>
      </c>
      <c r="T5" s="2">
        <v>103</v>
      </c>
      <c r="U5">
        <f>T5-R5</f>
        <v>2</v>
      </c>
      <c r="V5">
        <f>MAX($D5,$F5,$H5,$J5,$L5,$N5,$P5,$R5,$T5)</f>
        <v>103</v>
      </c>
      <c r="W5" s="3" t="str">
        <f>LEFT(INDEX($D$4:$U$4,MATCH($V5,$D5:$U5,0)),1)</f>
        <v>9</v>
      </c>
    </row>
    <row r="6" spans="1:23">
      <c r="A6" t="s">
        <v>26</v>
      </c>
      <c r="B6" t="s">
        <v>99</v>
      </c>
      <c r="C6">
        <v>109</v>
      </c>
      <c r="D6">
        <v>5</v>
      </c>
      <c r="E6">
        <f t="shared" ref="E6:E19" si="0">D6</f>
        <v>5</v>
      </c>
      <c r="F6">
        <v>21</v>
      </c>
      <c r="G6">
        <f t="shared" ref="G6:G19" si="1">F6-D6</f>
        <v>16</v>
      </c>
      <c r="H6">
        <v>37</v>
      </c>
      <c r="I6">
        <f t="shared" ref="I6:U19" si="2">H6-F6</f>
        <v>16</v>
      </c>
      <c r="J6">
        <v>45</v>
      </c>
      <c r="K6">
        <f t="shared" si="2"/>
        <v>8</v>
      </c>
      <c r="L6" s="2">
        <v>58</v>
      </c>
      <c r="M6">
        <f t="shared" si="2"/>
        <v>13</v>
      </c>
      <c r="N6" s="2">
        <v>64</v>
      </c>
      <c r="O6">
        <f t="shared" si="2"/>
        <v>6</v>
      </c>
      <c r="P6" s="2">
        <v>73</v>
      </c>
      <c r="Q6">
        <f t="shared" si="2"/>
        <v>9</v>
      </c>
      <c r="R6" s="2">
        <v>80</v>
      </c>
      <c r="S6">
        <f t="shared" si="2"/>
        <v>7</v>
      </c>
      <c r="T6" s="2">
        <v>87</v>
      </c>
      <c r="U6">
        <f t="shared" si="2"/>
        <v>7</v>
      </c>
      <c r="V6">
        <f t="shared" ref="V6:V19" si="3">MAX($D6,$F6,$H6,$J6,$L6,$N6,$P6,$R6,$T6)</f>
        <v>87</v>
      </c>
      <c r="W6" s="3" t="str">
        <f t="shared" ref="W6:W19" si="4">LEFT(INDEX($D$4:$U$4,MATCH($V6,$D6:$U6,0)),1)</f>
        <v>9</v>
      </c>
    </row>
    <row r="7" spans="1:23">
      <c r="A7" t="s">
        <v>39</v>
      </c>
      <c r="B7" t="s">
        <v>105</v>
      </c>
      <c r="C7">
        <v>127</v>
      </c>
      <c r="D7">
        <v>17</v>
      </c>
      <c r="E7">
        <f t="shared" si="0"/>
        <v>17</v>
      </c>
      <c r="F7">
        <v>33</v>
      </c>
      <c r="G7">
        <f t="shared" si="1"/>
        <v>16</v>
      </c>
      <c r="H7">
        <v>47</v>
      </c>
      <c r="I7">
        <f t="shared" si="2"/>
        <v>14</v>
      </c>
      <c r="J7">
        <v>61</v>
      </c>
      <c r="K7">
        <f t="shared" si="2"/>
        <v>14</v>
      </c>
      <c r="L7" s="2">
        <v>77</v>
      </c>
      <c r="M7">
        <f t="shared" si="2"/>
        <v>16</v>
      </c>
      <c r="N7" s="2">
        <v>89</v>
      </c>
      <c r="O7">
        <f t="shared" si="2"/>
        <v>12</v>
      </c>
      <c r="P7" s="2">
        <v>101</v>
      </c>
      <c r="Q7">
        <f t="shared" si="2"/>
        <v>12</v>
      </c>
      <c r="R7" s="2">
        <v>107</v>
      </c>
      <c r="S7">
        <f t="shared" si="2"/>
        <v>6</v>
      </c>
      <c r="T7" s="2">
        <v>118</v>
      </c>
      <c r="U7">
        <f t="shared" si="2"/>
        <v>11</v>
      </c>
      <c r="V7">
        <f t="shared" si="3"/>
        <v>118</v>
      </c>
      <c r="W7" s="3" t="str">
        <f t="shared" si="4"/>
        <v>9</v>
      </c>
    </row>
    <row r="8" spans="1:23">
      <c r="A8" t="s">
        <v>47</v>
      </c>
      <c r="B8" t="s">
        <v>104</v>
      </c>
      <c r="C8">
        <v>98</v>
      </c>
      <c r="D8">
        <v>18</v>
      </c>
      <c r="E8">
        <f t="shared" si="0"/>
        <v>18</v>
      </c>
      <c r="F8">
        <v>36</v>
      </c>
      <c r="G8">
        <f t="shared" si="1"/>
        <v>18</v>
      </c>
      <c r="H8">
        <v>50</v>
      </c>
      <c r="I8">
        <f t="shared" si="2"/>
        <v>14</v>
      </c>
      <c r="J8">
        <v>61</v>
      </c>
      <c r="K8">
        <f t="shared" si="2"/>
        <v>11</v>
      </c>
      <c r="L8" s="2">
        <v>79</v>
      </c>
      <c r="M8">
        <f t="shared" si="2"/>
        <v>18</v>
      </c>
      <c r="N8" s="2">
        <v>95</v>
      </c>
      <c r="O8">
        <f t="shared" si="2"/>
        <v>16</v>
      </c>
      <c r="P8" s="2">
        <v>98</v>
      </c>
      <c r="Q8">
        <f t="shared" si="2"/>
        <v>3</v>
      </c>
      <c r="R8" s="2">
        <v>98</v>
      </c>
      <c r="S8">
        <f t="shared" si="2"/>
        <v>0</v>
      </c>
      <c r="T8" s="2">
        <v>98</v>
      </c>
      <c r="U8">
        <f t="shared" si="2"/>
        <v>0</v>
      </c>
      <c r="V8">
        <f t="shared" si="3"/>
        <v>98</v>
      </c>
      <c r="W8" s="3" t="str">
        <f t="shared" si="4"/>
        <v>7</v>
      </c>
    </row>
    <row r="9" spans="1:23">
      <c r="A9" t="s">
        <v>25</v>
      </c>
      <c r="B9" t="s">
        <v>55</v>
      </c>
      <c r="C9">
        <v>136</v>
      </c>
      <c r="D9">
        <v>15</v>
      </c>
      <c r="E9">
        <f t="shared" si="0"/>
        <v>15</v>
      </c>
      <c r="F9">
        <v>32</v>
      </c>
      <c r="G9">
        <f t="shared" si="1"/>
        <v>17</v>
      </c>
      <c r="H9">
        <v>47</v>
      </c>
      <c r="I9">
        <f t="shared" si="2"/>
        <v>15</v>
      </c>
      <c r="J9">
        <v>57</v>
      </c>
      <c r="K9">
        <f t="shared" si="2"/>
        <v>10</v>
      </c>
      <c r="L9" s="2">
        <v>70</v>
      </c>
      <c r="M9">
        <f t="shared" si="2"/>
        <v>13</v>
      </c>
      <c r="N9" s="2">
        <v>78</v>
      </c>
      <c r="O9">
        <f t="shared" si="2"/>
        <v>8</v>
      </c>
      <c r="P9" s="2">
        <v>93</v>
      </c>
      <c r="Q9">
        <f t="shared" si="2"/>
        <v>15</v>
      </c>
      <c r="R9" s="2">
        <v>101</v>
      </c>
      <c r="S9">
        <f t="shared" si="2"/>
        <v>8</v>
      </c>
      <c r="T9" s="2">
        <v>111</v>
      </c>
      <c r="U9">
        <f t="shared" si="2"/>
        <v>10</v>
      </c>
      <c r="V9">
        <f t="shared" si="3"/>
        <v>111</v>
      </c>
      <c r="W9" s="3" t="str">
        <f t="shared" si="4"/>
        <v>9</v>
      </c>
    </row>
    <row r="10" spans="1:23">
      <c r="A10" t="s">
        <v>30</v>
      </c>
      <c r="B10" t="s">
        <v>50</v>
      </c>
      <c r="C10">
        <v>153</v>
      </c>
      <c r="D10">
        <v>7</v>
      </c>
      <c r="E10">
        <f t="shared" si="0"/>
        <v>7</v>
      </c>
      <c r="F10">
        <v>18</v>
      </c>
      <c r="G10">
        <f t="shared" si="1"/>
        <v>11</v>
      </c>
      <c r="H10">
        <v>24</v>
      </c>
      <c r="I10">
        <f t="shared" si="2"/>
        <v>6</v>
      </c>
      <c r="J10">
        <v>37</v>
      </c>
      <c r="K10">
        <f t="shared" si="2"/>
        <v>13</v>
      </c>
      <c r="L10" s="2">
        <v>51</v>
      </c>
      <c r="M10">
        <f t="shared" si="2"/>
        <v>14</v>
      </c>
      <c r="N10" s="2">
        <v>62</v>
      </c>
      <c r="O10">
        <f t="shared" si="2"/>
        <v>11</v>
      </c>
      <c r="P10" s="2">
        <v>73</v>
      </c>
      <c r="Q10">
        <f t="shared" si="2"/>
        <v>11</v>
      </c>
      <c r="R10" s="2">
        <v>91</v>
      </c>
      <c r="S10">
        <f t="shared" si="2"/>
        <v>18</v>
      </c>
      <c r="T10" s="2">
        <v>109</v>
      </c>
      <c r="U10">
        <f t="shared" si="2"/>
        <v>18</v>
      </c>
      <c r="V10">
        <f t="shared" si="3"/>
        <v>109</v>
      </c>
      <c r="W10" s="3" t="str">
        <f t="shared" si="4"/>
        <v>9</v>
      </c>
    </row>
    <row r="11" spans="1:23">
      <c r="A11" t="s">
        <v>34</v>
      </c>
      <c r="B11" t="s">
        <v>109</v>
      </c>
      <c r="C11">
        <v>110</v>
      </c>
      <c r="D11">
        <v>6</v>
      </c>
      <c r="E11">
        <f t="shared" si="0"/>
        <v>6</v>
      </c>
      <c r="F11">
        <v>12</v>
      </c>
      <c r="G11">
        <f t="shared" si="1"/>
        <v>6</v>
      </c>
      <c r="H11">
        <v>27</v>
      </c>
      <c r="I11">
        <f t="shared" si="2"/>
        <v>15</v>
      </c>
      <c r="J11">
        <v>41</v>
      </c>
      <c r="K11">
        <f t="shared" si="2"/>
        <v>14</v>
      </c>
      <c r="L11" s="2">
        <v>52</v>
      </c>
      <c r="M11">
        <f t="shared" si="2"/>
        <v>11</v>
      </c>
      <c r="N11" s="2">
        <v>68</v>
      </c>
      <c r="O11">
        <f t="shared" si="2"/>
        <v>16</v>
      </c>
      <c r="P11" s="2">
        <v>75</v>
      </c>
      <c r="Q11">
        <f t="shared" si="2"/>
        <v>7</v>
      </c>
      <c r="R11" s="2">
        <v>81</v>
      </c>
      <c r="S11">
        <f t="shared" si="2"/>
        <v>6</v>
      </c>
      <c r="T11" s="2">
        <v>93</v>
      </c>
      <c r="U11">
        <f t="shared" si="2"/>
        <v>12</v>
      </c>
      <c r="V11">
        <f t="shared" si="3"/>
        <v>93</v>
      </c>
      <c r="W11" s="3" t="str">
        <f t="shared" si="4"/>
        <v>9</v>
      </c>
    </row>
    <row r="12" spans="1:23">
      <c r="A12" t="s">
        <v>31</v>
      </c>
      <c r="B12" t="s">
        <v>108</v>
      </c>
      <c r="C12">
        <v>70</v>
      </c>
      <c r="D12">
        <v>10</v>
      </c>
      <c r="E12">
        <f t="shared" si="0"/>
        <v>10</v>
      </c>
      <c r="F12">
        <v>30</v>
      </c>
      <c r="G12">
        <f t="shared" si="1"/>
        <v>20</v>
      </c>
      <c r="H12">
        <v>41</v>
      </c>
      <c r="I12">
        <f t="shared" si="2"/>
        <v>11</v>
      </c>
      <c r="J12">
        <v>60</v>
      </c>
      <c r="K12">
        <f t="shared" si="2"/>
        <v>19</v>
      </c>
      <c r="L12" s="2">
        <v>70</v>
      </c>
      <c r="M12">
        <f t="shared" si="2"/>
        <v>10</v>
      </c>
      <c r="N12" s="2">
        <v>70</v>
      </c>
      <c r="O12">
        <f t="shared" si="2"/>
        <v>0</v>
      </c>
      <c r="P12" s="2">
        <v>70</v>
      </c>
      <c r="Q12">
        <f t="shared" si="2"/>
        <v>0</v>
      </c>
      <c r="R12" s="2">
        <v>70</v>
      </c>
      <c r="S12">
        <f t="shared" si="2"/>
        <v>0</v>
      </c>
      <c r="T12" s="2">
        <v>70</v>
      </c>
      <c r="U12">
        <f t="shared" si="2"/>
        <v>0</v>
      </c>
      <c r="V12">
        <f t="shared" si="3"/>
        <v>70</v>
      </c>
      <c r="W12" s="3" t="str">
        <f t="shared" si="4"/>
        <v>5</v>
      </c>
    </row>
    <row r="13" spans="1:23">
      <c r="A13" t="s">
        <v>45</v>
      </c>
      <c r="B13" t="s">
        <v>52</v>
      </c>
      <c r="C13">
        <v>134</v>
      </c>
      <c r="D13">
        <v>5</v>
      </c>
      <c r="E13">
        <f t="shared" si="0"/>
        <v>5</v>
      </c>
      <c r="F13">
        <v>22</v>
      </c>
      <c r="G13">
        <f t="shared" si="1"/>
        <v>17</v>
      </c>
      <c r="H13">
        <v>39</v>
      </c>
      <c r="I13">
        <f t="shared" si="2"/>
        <v>17</v>
      </c>
      <c r="J13">
        <v>45</v>
      </c>
      <c r="K13">
        <f t="shared" si="2"/>
        <v>6</v>
      </c>
      <c r="L13" s="2">
        <v>56</v>
      </c>
      <c r="M13">
        <f t="shared" si="2"/>
        <v>11</v>
      </c>
      <c r="N13" s="2">
        <v>70</v>
      </c>
      <c r="O13">
        <f t="shared" si="2"/>
        <v>14</v>
      </c>
      <c r="P13" s="2">
        <v>87</v>
      </c>
      <c r="Q13">
        <f t="shared" si="2"/>
        <v>17</v>
      </c>
      <c r="R13" s="2">
        <v>104</v>
      </c>
      <c r="S13">
        <f t="shared" si="2"/>
        <v>17</v>
      </c>
      <c r="T13" s="2">
        <v>112</v>
      </c>
      <c r="U13">
        <f t="shared" si="2"/>
        <v>8</v>
      </c>
      <c r="V13">
        <f t="shared" si="3"/>
        <v>112</v>
      </c>
      <c r="W13" s="3" t="str">
        <f t="shared" si="4"/>
        <v>9</v>
      </c>
    </row>
    <row r="14" spans="1:23">
      <c r="A14" t="s">
        <v>19</v>
      </c>
      <c r="B14" t="s">
        <v>51</v>
      </c>
      <c r="C14">
        <v>116</v>
      </c>
      <c r="D14">
        <v>18</v>
      </c>
      <c r="E14">
        <f t="shared" si="0"/>
        <v>18</v>
      </c>
      <c r="F14">
        <v>35</v>
      </c>
      <c r="G14">
        <f t="shared" si="1"/>
        <v>17</v>
      </c>
      <c r="H14">
        <v>54</v>
      </c>
      <c r="I14">
        <f t="shared" si="2"/>
        <v>19</v>
      </c>
      <c r="J14">
        <v>66</v>
      </c>
      <c r="K14">
        <f t="shared" si="2"/>
        <v>12</v>
      </c>
      <c r="L14" s="2">
        <v>76</v>
      </c>
      <c r="M14">
        <f t="shared" si="2"/>
        <v>10</v>
      </c>
      <c r="N14" s="2">
        <v>95</v>
      </c>
      <c r="O14">
        <f t="shared" si="2"/>
        <v>19</v>
      </c>
      <c r="P14" s="2">
        <v>101</v>
      </c>
      <c r="Q14">
        <f t="shared" si="2"/>
        <v>6</v>
      </c>
      <c r="R14" s="2">
        <v>115</v>
      </c>
      <c r="S14">
        <f t="shared" si="2"/>
        <v>14</v>
      </c>
      <c r="T14" s="2">
        <v>116</v>
      </c>
      <c r="U14">
        <f t="shared" si="2"/>
        <v>1</v>
      </c>
      <c r="V14">
        <f t="shared" si="3"/>
        <v>116</v>
      </c>
      <c r="W14" s="3" t="str">
        <f t="shared" si="4"/>
        <v>9</v>
      </c>
    </row>
    <row r="15" spans="1:23">
      <c r="A15" t="s">
        <v>29</v>
      </c>
      <c r="B15" t="s">
        <v>57</v>
      </c>
      <c r="C15">
        <v>80</v>
      </c>
      <c r="D15">
        <v>14</v>
      </c>
      <c r="E15">
        <f t="shared" si="0"/>
        <v>14</v>
      </c>
      <c r="F15">
        <v>32</v>
      </c>
      <c r="G15">
        <f t="shared" si="1"/>
        <v>18</v>
      </c>
      <c r="H15">
        <v>48</v>
      </c>
      <c r="I15">
        <f t="shared" si="2"/>
        <v>16</v>
      </c>
      <c r="J15">
        <v>60</v>
      </c>
      <c r="K15">
        <f t="shared" si="2"/>
        <v>12</v>
      </c>
      <c r="L15" s="2">
        <v>70</v>
      </c>
      <c r="M15">
        <f t="shared" si="2"/>
        <v>10</v>
      </c>
      <c r="N15" s="2">
        <v>76</v>
      </c>
      <c r="O15">
        <f t="shared" si="2"/>
        <v>6</v>
      </c>
      <c r="P15" s="2">
        <v>80</v>
      </c>
      <c r="Q15">
        <f t="shared" si="2"/>
        <v>4</v>
      </c>
      <c r="R15" s="2">
        <v>80</v>
      </c>
      <c r="S15">
        <f t="shared" si="2"/>
        <v>0</v>
      </c>
      <c r="T15" s="2">
        <v>80</v>
      </c>
      <c r="U15">
        <f t="shared" si="2"/>
        <v>0</v>
      </c>
      <c r="V15">
        <f t="shared" si="3"/>
        <v>80</v>
      </c>
      <c r="W15" s="3" t="str">
        <f t="shared" si="4"/>
        <v>7</v>
      </c>
    </row>
    <row r="16" spans="1:23">
      <c r="A16" t="s">
        <v>17</v>
      </c>
      <c r="B16" t="s">
        <v>110</v>
      </c>
      <c r="C16">
        <v>160</v>
      </c>
      <c r="D16">
        <v>3</v>
      </c>
      <c r="E16">
        <f t="shared" si="0"/>
        <v>3</v>
      </c>
      <c r="F16">
        <v>18</v>
      </c>
      <c r="G16">
        <f t="shared" si="1"/>
        <v>15</v>
      </c>
      <c r="H16">
        <v>25</v>
      </c>
      <c r="I16">
        <f t="shared" si="2"/>
        <v>7</v>
      </c>
      <c r="J16">
        <v>38</v>
      </c>
      <c r="K16">
        <f t="shared" si="2"/>
        <v>13</v>
      </c>
      <c r="L16" s="2">
        <v>48</v>
      </c>
      <c r="M16">
        <f t="shared" si="2"/>
        <v>10</v>
      </c>
      <c r="N16" s="2">
        <v>54</v>
      </c>
      <c r="O16">
        <f t="shared" si="2"/>
        <v>6</v>
      </c>
      <c r="P16" s="2">
        <v>62</v>
      </c>
      <c r="Q16">
        <f t="shared" si="2"/>
        <v>8</v>
      </c>
      <c r="R16" s="2">
        <v>71</v>
      </c>
      <c r="S16">
        <f t="shared" si="2"/>
        <v>9</v>
      </c>
      <c r="T16" s="2">
        <v>78</v>
      </c>
      <c r="U16">
        <f t="shared" si="2"/>
        <v>7</v>
      </c>
      <c r="V16">
        <f t="shared" si="3"/>
        <v>78</v>
      </c>
      <c r="W16" s="3" t="str">
        <f t="shared" si="4"/>
        <v>9</v>
      </c>
    </row>
    <row r="17" spans="1:23">
      <c r="A17" t="s">
        <v>24</v>
      </c>
      <c r="B17" t="s">
        <v>48</v>
      </c>
      <c r="C17">
        <v>138</v>
      </c>
      <c r="D17">
        <v>15</v>
      </c>
      <c r="E17">
        <f t="shared" si="0"/>
        <v>15</v>
      </c>
      <c r="F17">
        <v>32</v>
      </c>
      <c r="G17">
        <f t="shared" si="1"/>
        <v>17</v>
      </c>
      <c r="H17">
        <v>48</v>
      </c>
      <c r="I17">
        <f t="shared" si="2"/>
        <v>16</v>
      </c>
      <c r="J17">
        <v>59</v>
      </c>
      <c r="K17">
        <f t="shared" si="2"/>
        <v>11</v>
      </c>
      <c r="L17" s="2">
        <v>76</v>
      </c>
      <c r="M17">
        <f t="shared" si="2"/>
        <v>17</v>
      </c>
      <c r="N17" s="2">
        <v>96</v>
      </c>
      <c r="O17">
        <f t="shared" si="2"/>
        <v>20</v>
      </c>
      <c r="P17" s="2">
        <v>113</v>
      </c>
      <c r="Q17">
        <f t="shared" si="2"/>
        <v>17</v>
      </c>
      <c r="R17" s="2">
        <v>126</v>
      </c>
      <c r="S17">
        <f t="shared" si="2"/>
        <v>13</v>
      </c>
      <c r="T17" s="2">
        <v>132</v>
      </c>
      <c r="U17">
        <f t="shared" si="2"/>
        <v>6</v>
      </c>
      <c r="V17">
        <f t="shared" si="3"/>
        <v>132</v>
      </c>
      <c r="W17" s="3" t="str">
        <f t="shared" si="4"/>
        <v>9</v>
      </c>
    </row>
    <row r="18" spans="1:23">
      <c r="A18" t="s">
        <v>35</v>
      </c>
      <c r="B18" t="s">
        <v>60</v>
      </c>
      <c r="C18">
        <v>144</v>
      </c>
      <c r="D18">
        <v>19</v>
      </c>
      <c r="E18">
        <f t="shared" si="0"/>
        <v>19</v>
      </c>
      <c r="F18">
        <v>33</v>
      </c>
      <c r="G18">
        <f t="shared" si="1"/>
        <v>14</v>
      </c>
      <c r="H18">
        <v>53</v>
      </c>
      <c r="I18">
        <f t="shared" si="2"/>
        <v>20</v>
      </c>
      <c r="J18">
        <v>70</v>
      </c>
      <c r="K18">
        <f t="shared" si="2"/>
        <v>17</v>
      </c>
      <c r="L18" s="2">
        <v>81</v>
      </c>
      <c r="M18">
        <f t="shared" si="2"/>
        <v>11</v>
      </c>
      <c r="N18" s="2">
        <v>87</v>
      </c>
      <c r="O18">
        <f t="shared" si="2"/>
        <v>6</v>
      </c>
      <c r="P18" s="2">
        <v>100</v>
      </c>
      <c r="Q18">
        <f t="shared" si="2"/>
        <v>13</v>
      </c>
      <c r="R18" s="2">
        <v>119</v>
      </c>
      <c r="S18">
        <f t="shared" si="2"/>
        <v>19</v>
      </c>
      <c r="T18" s="2">
        <v>132</v>
      </c>
      <c r="U18">
        <f t="shared" si="2"/>
        <v>13</v>
      </c>
      <c r="V18">
        <f t="shared" si="3"/>
        <v>132</v>
      </c>
      <c r="W18" s="3" t="str">
        <f t="shared" si="4"/>
        <v>9</v>
      </c>
    </row>
    <row r="19" spans="1:23" ht="15.75" thickBot="1">
      <c r="A19" t="s">
        <v>23</v>
      </c>
      <c r="B19" t="s">
        <v>54</v>
      </c>
      <c r="C19">
        <v>93</v>
      </c>
      <c r="D19">
        <v>10</v>
      </c>
      <c r="E19">
        <f t="shared" si="0"/>
        <v>10</v>
      </c>
      <c r="F19">
        <v>26</v>
      </c>
      <c r="G19">
        <f t="shared" si="1"/>
        <v>16</v>
      </c>
      <c r="H19">
        <v>40</v>
      </c>
      <c r="I19">
        <f t="shared" si="2"/>
        <v>14</v>
      </c>
      <c r="J19">
        <v>55</v>
      </c>
      <c r="K19">
        <f t="shared" si="2"/>
        <v>15</v>
      </c>
      <c r="L19" s="2">
        <v>61</v>
      </c>
      <c r="M19">
        <f t="shared" si="2"/>
        <v>6</v>
      </c>
      <c r="N19" s="2">
        <v>70</v>
      </c>
      <c r="O19">
        <f t="shared" si="2"/>
        <v>9</v>
      </c>
      <c r="P19" s="2">
        <v>79</v>
      </c>
      <c r="Q19">
        <f t="shared" si="2"/>
        <v>9</v>
      </c>
      <c r="R19" s="2">
        <v>86</v>
      </c>
      <c r="S19">
        <f t="shared" si="2"/>
        <v>7</v>
      </c>
      <c r="T19" s="2">
        <v>93</v>
      </c>
      <c r="U19">
        <f t="shared" si="2"/>
        <v>7</v>
      </c>
      <c r="V19">
        <f t="shared" si="3"/>
        <v>93</v>
      </c>
      <c r="W19" s="3" t="str">
        <f t="shared" si="4"/>
        <v>9</v>
      </c>
    </row>
    <row r="20" spans="1:23" ht="15.75" thickTop="1">
      <c r="C20" s="4">
        <f>SUBTOTAL(9,C5:C19)</f>
        <v>1771</v>
      </c>
      <c r="D20" s="4">
        <f>SUBTOTAL(9,D5:D19)</f>
        <v>170</v>
      </c>
      <c r="E20" s="4">
        <f t="shared" ref="E20:V20" si="5">SUBTOTAL(9,E5:E19)</f>
        <v>170</v>
      </c>
      <c r="F20" s="4">
        <f t="shared" si="5"/>
        <v>395</v>
      </c>
      <c r="G20" s="4">
        <f t="shared" si="5"/>
        <v>225</v>
      </c>
      <c r="H20" s="4">
        <f t="shared" si="5"/>
        <v>609</v>
      </c>
      <c r="I20" s="4">
        <f t="shared" si="5"/>
        <v>214</v>
      </c>
      <c r="J20" s="4">
        <f t="shared" si="5"/>
        <v>790</v>
      </c>
      <c r="K20" s="4">
        <f t="shared" si="5"/>
        <v>181</v>
      </c>
      <c r="L20" s="4">
        <f t="shared" si="5"/>
        <v>978</v>
      </c>
      <c r="M20" s="4">
        <f t="shared" si="5"/>
        <v>188</v>
      </c>
      <c r="N20" s="4">
        <f t="shared" si="5"/>
        <v>1142</v>
      </c>
      <c r="O20" s="4">
        <f t="shared" si="5"/>
        <v>164</v>
      </c>
      <c r="P20" s="4">
        <f t="shared" si="5"/>
        <v>1287</v>
      </c>
      <c r="Q20" s="4">
        <f t="shared" si="5"/>
        <v>145</v>
      </c>
      <c r="R20" s="4">
        <f t="shared" si="5"/>
        <v>1430</v>
      </c>
      <c r="S20" s="4">
        <f t="shared" si="5"/>
        <v>143</v>
      </c>
      <c r="T20" s="4">
        <f t="shared" si="5"/>
        <v>1532</v>
      </c>
      <c r="U20" s="4">
        <f t="shared" si="5"/>
        <v>102</v>
      </c>
      <c r="V20" s="4">
        <f t="shared" si="5"/>
        <v>1532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W20"/>
  <sheetViews>
    <sheetView zoomScale="115" zoomScaleNormal="115" workbookViewId="0">
      <pane xSplit="3" ySplit="4" topLeftCell="D5" activePane="bottomRight" state="frozen"/>
      <selection activeCell="D5" sqref="D5"/>
      <selection pane="topRight" activeCell="D5" sqref="D5"/>
      <selection pane="bottomLeft" activeCell="D5" sqref="D5"/>
      <selection pane="bottomRight"/>
    </sheetView>
  </sheetViews>
  <sheetFormatPr defaultRowHeight="15"/>
  <cols>
    <col min="2" max="2" width="17.28515625" bestFit="1" customWidth="1"/>
    <col min="3" max="3" width="17.28515625" customWidth="1"/>
    <col min="4" max="5" width="9.140625" customWidth="1"/>
  </cols>
  <sheetData>
    <row r="1" spans="1:23">
      <c r="A1" s="1" t="s">
        <v>9</v>
      </c>
      <c r="B1" s="1">
        <f>'Day1'!YearCell</f>
        <v>2018</v>
      </c>
      <c r="C1" s="1" t="s">
        <v>10</v>
      </c>
    </row>
    <row r="2" spans="1:23">
      <c r="A2" s="1" t="s">
        <v>11</v>
      </c>
      <c r="B2" s="1">
        <f>'Day1'!WeekCell</f>
        <v>18</v>
      </c>
      <c r="C2" s="5">
        <f>'Day1'!DateCell+5</f>
        <v>43224</v>
      </c>
    </row>
    <row r="3" spans="1:23">
      <c r="A3" s="1"/>
    </row>
    <row r="4" spans="1:23">
      <c r="A4" s="1" t="s">
        <v>1</v>
      </c>
      <c r="B4" s="1" t="s">
        <v>0</v>
      </c>
      <c r="C4" s="1" t="s">
        <v>32</v>
      </c>
      <c r="D4" s="1" t="s">
        <v>2</v>
      </c>
      <c r="E4" s="1" t="s">
        <v>3</v>
      </c>
      <c r="F4" s="1" t="s">
        <v>4</v>
      </c>
      <c r="G4" s="1" t="s">
        <v>3</v>
      </c>
      <c r="H4" s="1" t="s">
        <v>5</v>
      </c>
      <c r="I4" s="1" t="s">
        <v>3</v>
      </c>
      <c r="J4" s="1" t="s">
        <v>6</v>
      </c>
      <c r="K4" s="1" t="s">
        <v>3</v>
      </c>
      <c r="L4" s="1" t="s">
        <v>7</v>
      </c>
      <c r="M4" s="1" t="s">
        <v>3</v>
      </c>
      <c r="N4" s="1" t="s">
        <v>8</v>
      </c>
      <c r="O4" s="1" t="s">
        <v>3</v>
      </c>
      <c r="P4" s="1" t="s">
        <v>12</v>
      </c>
      <c r="Q4" s="1" t="s">
        <v>3</v>
      </c>
      <c r="R4" s="1" t="s">
        <v>13</v>
      </c>
      <c r="S4" s="1" t="s">
        <v>3</v>
      </c>
      <c r="T4" s="1" t="s">
        <v>14</v>
      </c>
      <c r="U4" s="1" t="s">
        <v>3</v>
      </c>
      <c r="V4" s="1" t="s">
        <v>15</v>
      </c>
      <c r="W4" s="1" t="s">
        <v>16</v>
      </c>
    </row>
    <row r="5" spans="1:23">
      <c r="A5" t="s">
        <v>19</v>
      </c>
      <c r="B5" t="s">
        <v>99</v>
      </c>
      <c r="C5">
        <v>103</v>
      </c>
      <c r="D5">
        <v>8</v>
      </c>
      <c r="E5">
        <f>D5</f>
        <v>8</v>
      </c>
      <c r="F5">
        <v>15</v>
      </c>
      <c r="G5">
        <f>F5-D5</f>
        <v>7</v>
      </c>
      <c r="H5">
        <v>29</v>
      </c>
      <c r="I5">
        <f>H5-F5</f>
        <v>14</v>
      </c>
      <c r="J5">
        <v>35</v>
      </c>
      <c r="K5">
        <f>J5-H5</f>
        <v>6</v>
      </c>
      <c r="L5" s="2">
        <v>53</v>
      </c>
      <c r="M5">
        <f>L5-J5</f>
        <v>18</v>
      </c>
      <c r="N5" s="2">
        <v>68</v>
      </c>
      <c r="O5">
        <f>N5-L5</f>
        <v>15</v>
      </c>
      <c r="P5" s="2">
        <v>82</v>
      </c>
      <c r="Q5">
        <f>P5-N5</f>
        <v>14</v>
      </c>
      <c r="R5" s="2">
        <v>101</v>
      </c>
      <c r="S5">
        <f>R5-P5</f>
        <v>19</v>
      </c>
      <c r="T5" s="2">
        <v>103</v>
      </c>
      <c r="U5">
        <f>T5-R5</f>
        <v>2</v>
      </c>
      <c r="V5">
        <f>MAX($D5,$F5,$H5,$J5,$L5,$N5,$P5,$R5,$T5)</f>
        <v>103</v>
      </c>
      <c r="W5" s="3" t="str">
        <f>LEFT(INDEX($D$4:$U$4,MATCH($V5,$D5:$U5,0)),1)</f>
        <v>9</v>
      </c>
    </row>
    <row r="6" spans="1:23">
      <c r="A6" t="s">
        <v>24</v>
      </c>
      <c r="B6" t="s">
        <v>111</v>
      </c>
      <c r="C6">
        <v>109</v>
      </c>
      <c r="D6">
        <v>5</v>
      </c>
      <c r="E6">
        <f t="shared" ref="E6:E19" si="0">D6</f>
        <v>5</v>
      </c>
      <c r="F6">
        <v>21</v>
      </c>
      <c r="G6">
        <f t="shared" ref="G6:G19" si="1">F6-D6</f>
        <v>16</v>
      </c>
      <c r="H6">
        <v>37</v>
      </c>
      <c r="I6">
        <f t="shared" ref="I6:U19" si="2">H6-F6</f>
        <v>16</v>
      </c>
      <c r="J6">
        <v>45</v>
      </c>
      <c r="K6">
        <f t="shared" si="2"/>
        <v>8</v>
      </c>
      <c r="L6" s="2">
        <v>58</v>
      </c>
      <c r="M6">
        <f t="shared" si="2"/>
        <v>13</v>
      </c>
      <c r="N6" s="2">
        <v>64</v>
      </c>
      <c r="O6">
        <f t="shared" si="2"/>
        <v>6</v>
      </c>
      <c r="P6" s="2">
        <v>73</v>
      </c>
      <c r="Q6">
        <f t="shared" si="2"/>
        <v>9</v>
      </c>
      <c r="R6" s="2">
        <v>80</v>
      </c>
      <c r="S6">
        <f t="shared" si="2"/>
        <v>7</v>
      </c>
      <c r="T6" s="2">
        <v>87</v>
      </c>
      <c r="U6">
        <f t="shared" si="2"/>
        <v>7</v>
      </c>
      <c r="V6">
        <f t="shared" ref="V6:V19" si="3">MAX($D6,$F6,$H6,$J6,$L6,$N6,$P6,$R6,$T6)</f>
        <v>87</v>
      </c>
      <c r="W6" s="3" t="str">
        <f t="shared" ref="W6:W19" si="4">LEFT(INDEX($D$4:$U$4,MATCH($V6,$D6:$U6,0)),1)</f>
        <v>9</v>
      </c>
    </row>
    <row r="7" spans="1:23">
      <c r="A7" t="s">
        <v>37</v>
      </c>
      <c r="B7" t="s">
        <v>52</v>
      </c>
      <c r="C7">
        <v>127</v>
      </c>
      <c r="D7">
        <v>17</v>
      </c>
      <c r="E7">
        <f t="shared" si="0"/>
        <v>17</v>
      </c>
      <c r="F7">
        <v>33</v>
      </c>
      <c r="G7">
        <f t="shared" si="1"/>
        <v>16</v>
      </c>
      <c r="H7">
        <v>47</v>
      </c>
      <c r="I7">
        <f t="shared" si="2"/>
        <v>14</v>
      </c>
      <c r="J7">
        <v>61</v>
      </c>
      <c r="K7">
        <f t="shared" si="2"/>
        <v>14</v>
      </c>
      <c r="L7" s="2">
        <v>77</v>
      </c>
      <c r="M7">
        <f t="shared" si="2"/>
        <v>16</v>
      </c>
      <c r="N7" s="2">
        <v>89</v>
      </c>
      <c r="O7">
        <f t="shared" si="2"/>
        <v>12</v>
      </c>
      <c r="P7" s="2">
        <v>101</v>
      </c>
      <c r="Q7">
        <f t="shared" si="2"/>
        <v>12</v>
      </c>
      <c r="R7" s="2">
        <v>107</v>
      </c>
      <c r="S7">
        <f t="shared" si="2"/>
        <v>6</v>
      </c>
      <c r="T7" s="2">
        <v>118</v>
      </c>
      <c r="U7">
        <f t="shared" si="2"/>
        <v>11</v>
      </c>
      <c r="V7">
        <f t="shared" si="3"/>
        <v>118</v>
      </c>
      <c r="W7" s="3" t="str">
        <f t="shared" si="4"/>
        <v>9</v>
      </c>
    </row>
    <row r="8" spans="1:23">
      <c r="A8" t="s">
        <v>35</v>
      </c>
      <c r="B8" t="s">
        <v>60</v>
      </c>
      <c r="C8">
        <v>98</v>
      </c>
      <c r="D8">
        <v>18</v>
      </c>
      <c r="E8">
        <f t="shared" si="0"/>
        <v>18</v>
      </c>
      <c r="F8">
        <v>36</v>
      </c>
      <c r="G8">
        <f t="shared" si="1"/>
        <v>18</v>
      </c>
      <c r="H8">
        <v>50</v>
      </c>
      <c r="I8">
        <f t="shared" si="2"/>
        <v>14</v>
      </c>
      <c r="J8">
        <v>61</v>
      </c>
      <c r="K8">
        <f t="shared" si="2"/>
        <v>11</v>
      </c>
      <c r="L8" s="2">
        <v>79</v>
      </c>
      <c r="M8">
        <f t="shared" si="2"/>
        <v>18</v>
      </c>
      <c r="N8" s="2">
        <v>95</v>
      </c>
      <c r="O8">
        <f t="shared" si="2"/>
        <v>16</v>
      </c>
      <c r="P8" s="2">
        <v>98</v>
      </c>
      <c r="Q8">
        <f t="shared" si="2"/>
        <v>3</v>
      </c>
      <c r="R8" s="2">
        <v>98</v>
      </c>
      <c r="S8">
        <f t="shared" si="2"/>
        <v>0</v>
      </c>
      <c r="T8" s="2">
        <v>98</v>
      </c>
      <c r="U8">
        <f t="shared" si="2"/>
        <v>0</v>
      </c>
      <c r="V8">
        <f t="shared" si="3"/>
        <v>98</v>
      </c>
      <c r="W8" s="3" t="str">
        <f t="shared" si="4"/>
        <v>7</v>
      </c>
    </row>
    <row r="9" spans="1:23">
      <c r="A9" t="s">
        <v>31</v>
      </c>
      <c r="B9" t="s">
        <v>55</v>
      </c>
      <c r="C9">
        <v>136</v>
      </c>
      <c r="D9">
        <v>15</v>
      </c>
      <c r="E9">
        <f t="shared" si="0"/>
        <v>15</v>
      </c>
      <c r="F9">
        <v>32</v>
      </c>
      <c r="G9">
        <f t="shared" si="1"/>
        <v>17</v>
      </c>
      <c r="H9">
        <v>47</v>
      </c>
      <c r="I9">
        <f t="shared" si="2"/>
        <v>15</v>
      </c>
      <c r="J9">
        <v>57</v>
      </c>
      <c r="K9">
        <f t="shared" si="2"/>
        <v>10</v>
      </c>
      <c r="L9" s="2">
        <v>70</v>
      </c>
      <c r="M9">
        <f t="shared" si="2"/>
        <v>13</v>
      </c>
      <c r="N9" s="2">
        <v>78</v>
      </c>
      <c r="O9">
        <f t="shared" si="2"/>
        <v>8</v>
      </c>
      <c r="P9" s="2">
        <v>93</v>
      </c>
      <c r="Q9">
        <f t="shared" si="2"/>
        <v>15</v>
      </c>
      <c r="R9" s="2">
        <v>101</v>
      </c>
      <c r="S9">
        <f t="shared" si="2"/>
        <v>8</v>
      </c>
      <c r="T9" s="2">
        <v>111</v>
      </c>
      <c r="U9">
        <f t="shared" si="2"/>
        <v>10</v>
      </c>
      <c r="V9">
        <f t="shared" si="3"/>
        <v>111</v>
      </c>
      <c r="W9" s="3" t="str">
        <f t="shared" si="4"/>
        <v>9</v>
      </c>
    </row>
    <row r="10" spans="1:23">
      <c r="A10" t="s">
        <v>34</v>
      </c>
      <c r="B10" t="s">
        <v>48</v>
      </c>
      <c r="C10">
        <v>153</v>
      </c>
      <c r="D10">
        <v>7</v>
      </c>
      <c r="E10">
        <f t="shared" si="0"/>
        <v>7</v>
      </c>
      <c r="F10">
        <v>18</v>
      </c>
      <c r="G10">
        <f t="shared" si="1"/>
        <v>11</v>
      </c>
      <c r="H10">
        <v>24</v>
      </c>
      <c r="I10">
        <f t="shared" si="2"/>
        <v>6</v>
      </c>
      <c r="J10">
        <v>37</v>
      </c>
      <c r="K10">
        <f t="shared" si="2"/>
        <v>13</v>
      </c>
      <c r="L10" s="2">
        <v>51</v>
      </c>
      <c r="M10">
        <f t="shared" si="2"/>
        <v>14</v>
      </c>
      <c r="N10" s="2">
        <v>62</v>
      </c>
      <c r="O10">
        <f t="shared" si="2"/>
        <v>11</v>
      </c>
      <c r="P10" s="2">
        <v>73</v>
      </c>
      <c r="Q10">
        <f t="shared" si="2"/>
        <v>11</v>
      </c>
      <c r="R10" s="2">
        <v>91</v>
      </c>
      <c r="S10">
        <f t="shared" si="2"/>
        <v>18</v>
      </c>
      <c r="T10" s="2">
        <v>109</v>
      </c>
      <c r="U10">
        <f t="shared" si="2"/>
        <v>18</v>
      </c>
      <c r="V10">
        <f t="shared" si="3"/>
        <v>109</v>
      </c>
      <c r="W10" s="3" t="str">
        <f t="shared" si="4"/>
        <v>9</v>
      </c>
    </row>
    <row r="11" spans="1:23">
      <c r="A11" t="s">
        <v>29</v>
      </c>
      <c r="B11" t="s">
        <v>49</v>
      </c>
      <c r="C11">
        <v>110</v>
      </c>
      <c r="D11">
        <v>6</v>
      </c>
      <c r="E11">
        <f t="shared" si="0"/>
        <v>6</v>
      </c>
      <c r="F11">
        <v>12</v>
      </c>
      <c r="G11">
        <f t="shared" si="1"/>
        <v>6</v>
      </c>
      <c r="H11">
        <v>27</v>
      </c>
      <c r="I11">
        <f t="shared" si="2"/>
        <v>15</v>
      </c>
      <c r="J11">
        <v>41</v>
      </c>
      <c r="K11">
        <f t="shared" si="2"/>
        <v>14</v>
      </c>
      <c r="L11" s="2">
        <v>52</v>
      </c>
      <c r="M11">
        <f t="shared" si="2"/>
        <v>11</v>
      </c>
      <c r="N11" s="2">
        <v>68</v>
      </c>
      <c r="O11">
        <f t="shared" si="2"/>
        <v>16</v>
      </c>
      <c r="P11" s="2">
        <v>75</v>
      </c>
      <c r="Q11">
        <f t="shared" si="2"/>
        <v>7</v>
      </c>
      <c r="R11" s="2">
        <v>81</v>
      </c>
      <c r="S11">
        <f t="shared" si="2"/>
        <v>6</v>
      </c>
      <c r="T11" s="2">
        <v>93</v>
      </c>
      <c r="U11">
        <f t="shared" si="2"/>
        <v>12</v>
      </c>
      <c r="V11">
        <f t="shared" si="3"/>
        <v>93</v>
      </c>
      <c r="W11" s="3" t="str">
        <f t="shared" si="4"/>
        <v>9</v>
      </c>
    </row>
    <row r="12" spans="1:23">
      <c r="A12" t="s">
        <v>17</v>
      </c>
      <c r="B12" t="s">
        <v>56</v>
      </c>
      <c r="C12">
        <v>70</v>
      </c>
      <c r="D12">
        <v>10</v>
      </c>
      <c r="E12">
        <f t="shared" si="0"/>
        <v>10</v>
      </c>
      <c r="F12">
        <v>30</v>
      </c>
      <c r="G12">
        <f t="shared" si="1"/>
        <v>20</v>
      </c>
      <c r="H12">
        <v>41</v>
      </c>
      <c r="I12">
        <f t="shared" si="2"/>
        <v>11</v>
      </c>
      <c r="J12">
        <v>60</v>
      </c>
      <c r="K12">
        <f t="shared" si="2"/>
        <v>19</v>
      </c>
      <c r="L12" s="2">
        <v>70</v>
      </c>
      <c r="M12">
        <f t="shared" si="2"/>
        <v>10</v>
      </c>
      <c r="N12" s="2">
        <v>70</v>
      </c>
      <c r="O12">
        <f t="shared" si="2"/>
        <v>0</v>
      </c>
      <c r="P12" s="2">
        <v>70</v>
      </c>
      <c r="Q12">
        <f t="shared" si="2"/>
        <v>0</v>
      </c>
      <c r="R12" s="2">
        <v>70</v>
      </c>
      <c r="S12">
        <f t="shared" si="2"/>
        <v>0</v>
      </c>
      <c r="T12" s="2">
        <v>70</v>
      </c>
      <c r="U12">
        <f t="shared" si="2"/>
        <v>0</v>
      </c>
      <c r="V12">
        <f t="shared" si="3"/>
        <v>70</v>
      </c>
      <c r="W12" s="3" t="str">
        <f t="shared" si="4"/>
        <v>5</v>
      </c>
    </row>
    <row r="13" spans="1:23">
      <c r="A13" t="s">
        <v>43</v>
      </c>
      <c r="B13" t="s">
        <v>51</v>
      </c>
      <c r="C13">
        <v>134</v>
      </c>
      <c r="D13">
        <v>5</v>
      </c>
      <c r="E13">
        <f t="shared" si="0"/>
        <v>5</v>
      </c>
      <c r="F13">
        <v>22</v>
      </c>
      <c r="G13">
        <f t="shared" si="1"/>
        <v>17</v>
      </c>
      <c r="H13">
        <v>39</v>
      </c>
      <c r="I13">
        <f t="shared" si="2"/>
        <v>17</v>
      </c>
      <c r="J13">
        <v>45</v>
      </c>
      <c r="K13">
        <f t="shared" si="2"/>
        <v>6</v>
      </c>
      <c r="L13" s="2">
        <v>56</v>
      </c>
      <c r="M13">
        <f t="shared" si="2"/>
        <v>11</v>
      </c>
      <c r="N13" s="2">
        <v>70</v>
      </c>
      <c r="O13">
        <f t="shared" si="2"/>
        <v>14</v>
      </c>
      <c r="P13" s="2">
        <v>87</v>
      </c>
      <c r="Q13">
        <f t="shared" si="2"/>
        <v>17</v>
      </c>
      <c r="R13" s="2">
        <v>104</v>
      </c>
      <c r="S13">
        <f t="shared" si="2"/>
        <v>17</v>
      </c>
      <c r="T13" s="2">
        <v>112</v>
      </c>
      <c r="U13">
        <f t="shared" si="2"/>
        <v>8</v>
      </c>
      <c r="V13">
        <f t="shared" si="3"/>
        <v>112</v>
      </c>
      <c r="W13" s="3" t="str">
        <f t="shared" si="4"/>
        <v>9</v>
      </c>
    </row>
    <row r="14" spans="1:23">
      <c r="A14" t="s">
        <v>44</v>
      </c>
      <c r="B14" t="s">
        <v>59</v>
      </c>
      <c r="C14">
        <v>116</v>
      </c>
      <c r="D14">
        <v>18</v>
      </c>
      <c r="E14">
        <f t="shared" si="0"/>
        <v>18</v>
      </c>
      <c r="F14">
        <v>35</v>
      </c>
      <c r="G14">
        <f t="shared" si="1"/>
        <v>17</v>
      </c>
      <c r="H14">
        <v>54</v>
      </c>
      <c r="I14">
        <f t="shared" si="2"/>
        <v>19</v>
      </c>
      <c r="J14">
        <v>66</v>
      </c>
      <c r="K14">
        <f t="shared" si="2"/>
        <v>12</v>
      </c>
      <c r="L14" s="2">
        <v>76</v>
      </c>
      <c r="M14">
        <f t="shared" si="2"/>
        <v>10</v>
      </c>
      <c r="N14" s="2">
        <v>95</v>
      </c>
      <c r="O14">
        <f t="shared" si="2"/>
        <v>19</v>
      </c>
      <c r="P14" s="2">
        <v>101</v>
      </c>
      <c r="Q14">
        <f t="shared" si="2"/>
        <v>6</v>
      </c>
      <c r="R14" s="2">
        <v>115</v>
      </c>
      <c r="S14">
        <f t="shared" si="2"/>
        <v>14</v>
      </c>
      <c r="T14" s="2">
        <v>116</v>
      </c>
      <c r="U14">
        <f t="shared" si="2"/>
        <v>1</v>
      </c>
      <c r="V14">
        <f t="shared" si="3"/>
        <v>116</v>
      </c>
      <c r="W14" s="3" t="str">
        <f t="shared" si="4"/>
        <v>9</v>
      </c>
    </row>
    <row r="15" spans="1:23">
      <c r="A15" t="s">
        <v>18</v>
      </c>
      <c r="B15" t="s">
        <v>54</v>
      </c>
      <c r="C15">
        <v>80</v>
      </c>
      <c r="D15">
        <v>14</v>
      </c>
      <c r="E15">
        <f t="shared" si="0"/>
        <v>14</v>
      </c>
      <c r="F15">
        <v>32</v>
      </c>
      <c r="G15">
        <f t="shared" si="1"/>
        <v>18</v>
      </c>
      <c r="H15">
        <v>48</v>
      </c>
      <c r="I15">
        <f t="shared" si="2"/>
        <v>16</v>
      </c>
      <c r="J15">
        <v>60</v>
      </c>
      <c r="K15">
        <f t="shared" si="2"/>
        <v>12</v>
      </c>
      <c r="L15" s="2">
        <v>70</v>
      </c>
      <c r="M15">
        <f t="shared" si="2"/>
        <v>10</v>
      </c>
      <c r="N15" s="2">
        <v>76</v>
      </c>
      <c r="O15">
        <f t="shared" si="2"/>
        <v>6</v>
      </c>
      <c r="P15" s="2">
        <v>80</v>
      </c>
      <c r="Q15">
        <f t="shared" si="2"/>
        <v>4</v>
      </c>
      <c r="R15" s="2">
        <v>80</v>
      </c>
      <c r="S15">
        <f t="shared" si="2"/>
        <v>0</v>
      </c>
      <c r="T15" s="2">
        <v>80</v>
      </c>
      <c r="U15">
        <f t="shared" si="2"/>
        <v>0</v>
      </c>
      <c r="V15">
        <f t="shared" si="3"/>
        <v>80</v>
      </c>
      <c r="W15" s="3" t="str">
        <f t="shared" si="4"/>
        <v>7</v>
      </c>
    </row>
    <row r="16" spans="1:23">
      <c r="A16" t="s">
        <v>28</v>
      </c>
      <c r="B16" t="s">
        <v>107</v>
      </c>
      <c r="C16">
        <v>160</v>
      </c>
      <c r="D16">
        <v>3</v>
      </c>
      <c r="E16">
        <f t="shared" si="0"/>
        <v>3</v>
      </c>
      <c r="F16">
        <v>18</v>
      </c>
      <c r="G16">
        <f t="shared" si="1"/>
        <v>15</v>
      </c>
      <c r="H16">
        <v>25</v>
      </c>
      <c r="I16">
        <f t="shared" si="2"/>
        <v>7</v>
      </c>
      <c r="J16">
        <v>38</v>
      </c>
      <c r="K16">
        <f t="shared" si="2"/>
        <v>13</v>
      </c>
      <c r="L16" s="2">
        <v>48</v>
      </c>
      <c r="M16">
        <f t="shared" si="2"/>
        <v>10</v>
      </c>
      <c r="N16" s="2">
        <v>54</v>
      </c>
      <c r="O16">
        <f t="shared" si="2"/>
        <v>6</v>
      </c>
      <c r="P16" s="2">
        <v>62</v>
      </c>
      <c r="Q16">
        <f t="shared" si="2"/>
        <v>8</v>
      </c>
      <c r="R16" s="2">
        <v>71</v>
      </c>
      <c r="S16">
        <f t="shared" si="2"/>
        <v>9</v>
      </c>
      <c r="T16" s="2">
        <v>78</v>
      </c>
      <c r="U16">
        <f t="shared" si="2"/>
        <v>7</v>
      </c>
      <c r="V16">
        <f t="shared" si="3"/>
        <v>78</v>
      </c>
      <c r="W16" s="3" t="str">
        <f t="shared" si="4"/>
        <v>9</v>
      </c>
    </row>
    <row r="17" spans="1:23">
      <c r="A17" t="s">
        <v>30</v>
      </c>
      <c r="B17" t="s">
        <v>57</v>
      </c>
      <c r="C17">
        <v>138</v>
      </c>
      <c r="D17">
        <v>15</v>
      </c>
      <c r="E17">
        <f t="shared" si="0"/>
        <v>15</v>
      </c>
      <c r="F17">
        <v>32</v>
      </c>
      <c r="G17">
        <f t="shared" si="1"/>
        <v>17</v>
      </c>
      <c r="H17">
        <v>48</v>
      </c>
      <c r="I17">
        <f t="shared" si="2"/>
        <v>16</v>
      </c>
      <c r="J17">
        <v>59</v>
      </c>
      <c r="K17">
        <f t="shared" si="2"/>
        <v>11</v>
      </c>
      <c r="L17" s="2">
        <v>76</v>
      </c>
      <c r="M17">
        <f t="shared" si="2"/>
        <v>17</v>
      </c>
      <c r="N17" s="2">
        <v>96</v>
      </c>
      <c r="O17">
        <f t="shared" si="2"/>
        <v>20</v>
      </c>
      <c r="P17" s="2">
        <v>113</v>
      </c>
      <c r="Q17">
        <f t="shared" si="2"/>
        <v>17</v>
      </c>
      <c r="R17" s="2">
        <v>126</v>
      </c>
      <c r="S17">
        <f t="shared" si="2"/>
        <v>13</v>
      </c>
      <c r="T17" s="2">
        <v>132</v>
      </c>
      <c r="U17">
        <f t="shared" si="2"/>
        <v>6</v>
      </c>
      <c r="V17">
        <f t="shared" si="3"/>
        <v>132</v>
      </c>
      <c r="W17" s="3" t="str">
        <f t="shared" si="4"/>
        <v>9</v>
      </c>
    </row>
    <row r="18" spans="1:23">
      <c r="A18" t="s">
        <v>33</v>
      </c>
      <c r="B18" t="s">
        <v>104</v>
      </c>
      <c r="C18">
        <v>144</v>
      </c>
      <c r="D18">
        <v>19</v>
      </c>
      <c r="E18">
        <f t="shared" si="0"/>
        <v>19</v>
      </c>
      <c r="F18">
        <v>33</v>
      </c>
      <c r="G18">
        <f t="shared" si="1"/>
        <v>14</v>
      </c>
      <c r="H18">
        <v>53</v>
      </c>
      <c r="I18">
        <f t="shared" si="2"/>
        <v>20</v>
      </c>
      <c r="J18">
        <v>70</v>
      </c>
      <c r="K18">
        <f t="shared" si="2"/>
        <v>17</v>
      </c>
      <c r="L18" s="2">
        <v>81</v>
      </c>
      <c r="M18">
        <f t="shared" si="2"/>
        <v>11</v>
      </c>
      <c r="N18" s="2">
        <v>87</v>
      </c>
      <c r="O18">
        <f t="shared" si="2"/>
        <v>6</v>
      </c>
      <c r="P18" s="2">
        <v>100</v>
      </c>
      <c r="Q18">
        <f t="shared" si="2"/>
        <v>13</v>
      </c>
      <c r="R18" s="2">
        <v>119</v>
      </c>
      <c r="S18">
        <f t="shared" si="2"/>
        <v>19</v>
      </c>
      <c r="T18" s="2">
        <v>132</v>
      </c>
      <c r="U18">
        <f t="shared" si="2"/>
        <v>13</v>
      </c>
      <c r="V18">
        <f t="shared" si="3"/>
        <v>132</v>
      </c>
      <c r="W18" s="3" t="str">
        <f t="shared" si="4"/>
        <v>9</v>
      </c>
    </row>
    <row r="19" spans="1:23" ht="15.75" thickBot="1">
      <c r="A19" t="s">
        <v>23</v>
      </c>
      <c r="B19" t="s">
        <v>109</v>
      </c>
      <c r="C19">
        <v>93</v>
      </c>
      <c r="D19">
        <v>10</v>
      </c>
      <c r="E19">
        <f t="shared" si="0"/>
        <v>10</v>
      </c>
      <c r="F19">
        <v>26</v>
      </c>
      <c r="G19">
        <f t="shared" si="1"/>
        <v>16</v>
      </c>
      <c r="H19">
        <v>40</v>
      </c>
      <c r="I19">
        <f t="shared" si="2"/>
        <v>14</v>
      </c>
      <c r="J19">
        <v>55</v>
      </c>
      <c r="K19">
        <f t="shared" si="2"/>
        <v>15</v>
      </c>
      <c r="L19" s="2">
        <v>61</v>
      </c>
      <c r="M19">
        <f t="shared" si="2"/>
        <v>6</v>
      </c>
      <c r="N19" s="2">
        <v>70</v>
      </c>
      <c r="O19">
        <f t="shared" si="2"/>
        <v>9</v>
      </c>
      <c r="P19" s="2">
        <v>79</v>
      </c>
      <c r="Q19">
        <f t="shared" si="2"/>
        <v>9</v>
      </c>
      <c r="R19" s="2">
        <v>86</v>
      </c>
      <c r="S19">
        <f t="shared" si="2"/>
        <v>7</v>
      </c>
      <c r="T19" s="2">
        <v>93</v>
      </c>
      <c r="U19">
        <f t="shared" si="2"/>
        <v>7</v>
      </c>
      <c r="V19">
        <f t="shared" si="3"/>
        <v>93</v>
      </c>
      <c r="W19" s="3" t="str">
        <f t="shared" si="4"/>
        <v>9</v>
      </c>
    </row>
    <row r="20" spans="1:23" ht="15.75" thickTop="1">
      <c r="C20" s="4">
        <f>SUBTOTAL(9,C5:C19)</f>
        <v>1771</v>
      </c>
      <c r="D20" s="4">
        <f>SUBTOTAL(9,D5:D19)</f>
        <v>170</v>
      </c>
      <c r="E20" s="4">
        <f t="shared" ref="E20:V20" si="5">SUBTOTAL(9,E5:E19)</f>
        <v>170</v>
      </c>
      <c r="F20" s="4">
        <f t="shared" si="5"/>
        <v>395</v>
      </c>
      <c r="G20" s="4">
        <f t="shared" si="5"/>
        <v>225</v>
      </c>
      <c r="H20" s="4">
        <f t="shared" si="5"/>
        <v>609</v>
      </c>
      <c r="I20" s="4">
        <f t="shared" si="5"/>
        <v>214</v>
      </c>
      <c r="J20" s="4">
        <f t="shared" si="5"/>
        <v>790</v>
      </c>
      <c r="K20" s="4">
        <f t="shared" si="5"/>
        <v>181</v>
      </c>
      <c r="L20" s="4">
        <f t="shared" si="5"/>
        <v>978</v>
      </c>
      <c r="M20" s="4">
        <f t="shared" si="5"/>
        <v>188</v>
      </c>
      <c r="N20" s="4">
        <f t="shared" si="5"/>
        <v>1142</v>
      </c>
      <c r="O20" s="4">
        <f t="shared" si="5"/>
        <v>164</v>
      </c>
      <c r="P20" s="4">
        <f t="shared" si="5"/>
        <v>1287</v>
      </c>
      <c r="Q20" s="4">
        <f t="shared" si="5"/>
        <v>145</v>
      </c>
      <c r="R20" s="4">
        <f t="shared" si="5"/>
        <v>1430</v>
      </c>
      <c r="S20" s="4">
        <f t="shared" si="5"/>
        <v>143</v>
      </c>
      <c r="T20" s="4">
        <f t="shared" si="5"/>
        <v>1532</v>
      </c>
      <c r="U20" s="4">
        <f t="shared" si="5"/>
        <v>102</v>
      </c>
      <c r="V20" s="4">
        <f t="shared" si="5"/>
        <v>1532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W20"/>
  <sheetViews>
    <sheetView zoomScale="115" zoomScaleNormal="115" workbookViewId="0">
      <pane xSplit="3" ySplit="4" topLeftCell="D5" activePane="bottomRight" state="frozen"/>
      <selection activeCell="D5" sqref="D5"/>
      <selection pane="topRight" activeCell="D5" sqref="D5"/>
      <selection pane="bottomLeft" activeCell="D5" sqref="D5"/>
      <selection pane="bottomRight"/>
    </sheetView>
  </sheetViews>
  <sheetFormatPr defaultRowHeight="15"/>
  <cols>
    <col min="2" max="2" width="17.28515625" bestFit="1" customWidth="1"/>
    <col min="3" max="3" width="17.28515625" customWidth="1"/>
    <col min="4" max="5" width="9.140625" customWidth="1"/>
  </cols>
  <sheetData>
    <row r="1" spans="1:23">
      <c r="A1" s="1" t="s">
        <v>9</v>
      </c>
      <c r="B1" s="1">
        <f>'Day1'!YearCell</f>
        <v>2018</v>
      </c>
      <c r="C1" s="1" t="s">
        <v>10</v>
      </c>
    </row>
    <row r="2" spans="1:23">
      <c r="A2" s="1" t="s">
        <v>11</v>
      </c>
      <c r="B2" s="1">
        <f>'Day1'!WeekCell</f>
        <v>18</v>
      </c>
      <c r="C2" s="5">
        <f>'Day1'!DateCell+6</f>
        <v>43225</v>
      </c>
    </row>
    <row r="3" spans="1:23">
      <c r="A3" s="9" t="s">
        <v>96</v>
      </c>
      <c r="B3" s="9"/>
      <c r="C3" s="9"/>
    </row>
    <row r="4" spans="1:23">
      <c r="A4" s="1" t="s">
        <v>1</v>
      </c>
      <c r="B4" s="1" t="s">
        <v>0</v>
      </c>
      <c r="C4" s="1" t="s">
        <v>32</v>
      </c>
      <c r="D4" s="1" t="s">
        <v>2</v>
      </c>
      <c r="E4" s="1" t="s">
        <v>3</v>
      </c>
      <c r="F4" s="1" t="s">
        <v>4</v>
      </c>
      <c r="G4" s="1" t="s">
        <v>3</v>
      </c>
      <c r="H4" s="1" t="s">
        <v>5</v>
      </c>
      <c r="I4" s="1" t="s">
        <v>3</v>
      </c>
      <c r="J4" s="1" t="s">
        <v>6</v>
      </c>
      <c r="K4" s="1" t="s">
        <v>3</v>
      </c>
      <c r="L4" s="1" t="s">
        <v>7</v>
      </c>
      <c r="M4" s="1" t="s">
        <v>3</v>
      </c>
      <c r="N4" s="1" t="s">
        <v>8</v>
      </c>
      <c r="O4" s="1" t="s">
        <v>3</v>
      </c>
      <c r="P4" s="1" t="s">
        <v>12</v>
      </c>
      <c r="Q4" s="1" t="s">
        <v>3</v>
      </c>
      <c r="R4" s="1" t="s">
        <v>13</v>
      </c>
      <c r="S4" s="1" t="s">
        <v>3</v>
      </c>
      <c r="T4" s="1" t="s">
        <v>14</v>
      </c>
      <c r="U4" s="1" t="s">
        <v>3</v>
      </c>
      <c r="V4" s="1" t="s">
        <v>15</v>
      </c>
      <c r="W4" s="1" t="s">
        <v>16</v>
      </c>
    </row>
    <row r="5" spans="1:23">
      <c r="L5" s="2"/>
      <c r="N5" s="2"/>
      <c r="P5" s="2"/>
      <c r="R5" s="2"/>
      <c r="T5" s="2"/>
      <c r="W5" s="3"/>
    </row>
    <row r="6" spans="1:23">
      <c r="L6" s="2"/>
      <c r="N6" s="2"/>
      <c r="P6" s="2"/>
      <c r="R6" s="2"/>
      <c r="T6" s="2"/>
      <c r="W6" s="3"/>
    </row>
    <row r="7" spans="1:23">
      <c r="L7" s="2"/>
      <c r="N7" s="2"/>
      <c r="P7" s="2"/>
      <c r="R7" s="2"/>
      <c r="T7" s="2"/>
      <c r="W7" s="3"/>
    </row>
    <row r="8" spans="1:23">
      <c r="L8" s="2"/>
      <c r="N8" s="2"/>
      <c r="P8" s="2"/>
      <c r="R8" s="2"/>
      <c r="T8" s="2"/>
      <c r="W8" s="3"/>
    </row>
    <row r="9" spans="1:23">
      <c r="L9" s="2"/>
      <c r="N9" s="2"/>
      <c r="P9" s="2"/>
      <c r="R9" s="2"/>
      <c r="T9" s="2"/>
      <c r="W9" s="3"/>
    </row>
    <row r="10" spans="1:23">
      <c r="L10" s="2"/>
      <c r="N10" s="2"/>
      <c r="P10" s="2"/>
      <c r="R10" s="2"/>
      <c r="T10" s="2"/>
      <c r="W10" s="3"/>
    </row>
    <row r="11" spans="1:23">
      <c r="L11" s="2"/>
      <c r="N11" s="2"/>
      <c r="P11" s="2"/>
      <c r="R11" s="2"/>
      <c r="T11" s="2"/>
      <c r="W11" s="3"/>
    </row>
    <row r="12" spans="1:23">
      <c r="L12" s="2"/>
      <c r="N12" s="2"/>
      <c r="P12" s="2"/>
      <c r="R12" s="2"/>
      <c r="T12" s="2"/>
      <c r="W12" s="3"/>
    </row>
    <row r="13" spans="1:23">
      <c r="L13" s="2"/>
      <c r="N13" s="2"/>
      <c r="P13" s="2"/>
      <c r="R13" s="2"/>
      <c r="T13" s="2"/>
      <c r="W13" s="3"/>
    </row>
    <row r="14" spans="1:23">
      <c r="L14" s="2"/>
      <c r="N14" s="2"/>
      <c r="P14" s="2"/>
      <c r="R14" s="2"/>
      <c r="T14" s="2"/>
      <c r="W14" s="3"/>
    </row>
    <row r="15" spans="1:23">
      <c r="L15" s="2"/>
      <c r="N15" s="2"/>
      <c r="P15" s="2"/>
      <c r="R15" s="2"/>
      <c r="T15" s="2"/>
      <c r="W15" s="3"/>
    </row>
    <row r="16" spans="1:23">
      <c r="L16" s="2"/>
      <c r="N16" s="2"/>
      <c r="P16" s="2"/>
      <c r="R16" s="2"/>
      <c r="T16" s="2"/>
      <c r="W16" s="3"/>
    </row>
    <row r="17" spans="3:23">
      <c r="L17" s="2"/>
      <c r="N17" s="2"/>
      <c r="P17" s="2"/>
      <c r="R17" s="2"/>
      <c r="T17" s="2"/>
      <c r="W17" s="3"/>
    </row>
    <row r="18" spans="3:23">
      <c r="L18" s="2"/>
      <c r="N18" s="2"/>
      <c r="P18" s="2"/>
      <c r="R18" s="2"/>
      <c r="T18" s="2"/>
      <c r="W18" s="3"/>
    </row>
    <row r="19" spans="3:23" ht="15.75" thickBot="1">
      <c r="L19" s="2"/>
      <c r="N19" s="2"/>
      <c r="P19" s="2"/>
      <c r="R19" s="2"/>
      <c r="T19" s="2"/>
      <c r="W19" s="3"/>
    </row>
    <row r="20" spans="3:23" ht="15.75" thickTop="1">
      <c r="C20" s="4">
        <f>SUBTOTAL(9,C5:C19)</f>
        <v>0</v>
      </c>
      <c r="D20" s="4">
        <f>SUBTOTAL(9,D5:D19)</f>
        <v>0</v>
      </c>
      <c r="E20" s="4">
        <f t="shared" ref="E20:V20" si="0">SUBTOTAL(9,E5:E19)</f>
        <v>0</v>
      </c>
      <c r="F20" s="4">
        <f t="shared" si="0"/>
        <v>0</v>
      </c>
      <c r="G20" s="4">
        <f t="shared" si="0"/>
        <v>0</v>
      </c>
      <c r="H20" s="4">
        <f t="shared" si="0"/>
        <v>0</v>
      </c>
      <c r="I20" s="4">
        <f t="shared" si="0"/>
        <v>0</v>
      </c>
      <c r="J20" s="4">
        <f t="shared" si="0"/>
        <v>0</v>
      </c>
      <c r="K20" s="4">
        <f t="shared" si="0"/>
        <v>0</v>
      </c>
      <c r="L20" s="4">
        <f t="shared" si="0"/>
        <v>0</v>
      </c>
      <c r="M20" s="4">
        <f t="shared" si="0"/>
        <v>0</v>
      </c>
      <c r="N20" s="4">
        <f t="shared" si="0"/>
        <v>0</v>
      </c>
      <c r="O20" s="4">
        <f t="shared" si="0"/>
        <v>0</v>
      </c>
      <c r="P20" s="4">
        <f t="shared" si="0"/>
        <v>0</v>
      </c>
      <c r="Q20" s="4">
        <f t="shared" si="0"/>
        <v>0</v>
      </c>
      <c r="R20" s="4">
        <f t="shared" si="0"/>
        <v>0</v>
      </c>
      <c r="S20" s="4">
        <f t="shared" si="0"/>
        <v>0</v>
      </c>
      <c r="T20" s="4">
        <f t="shared" si="0"/>
        <v>0</v>
      </c>
      <c r="U20" s="4">
        <f t="shared" si="0"/>
        <v>0</v>
      </c>
      <c r="V20" s="4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2:AA34"/>
  <sheetViews>
    <sheetView tabSelected="1"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" sqref="E1"/>
    </sheetView>
  </sheetViews>
  <sheetFormatPr defaultRowHeight="15"/>
  <cols>
    <col min="1" max="1" width="23" bestFit="1" customWidth="1"/>
    <col min="2" max="22" width="6.7109375" customWidth="1"/>
    <col min="23" max="27" width="7.28515625" customWidth="1"/>
  </cols>
  <sheetData>
    <row r="2" spans="1:27" ht="35.1" customHeight="1">
      <c r="B2" s="12" t="s">
        <v>89</v>
      </c>
      <c r="C2" s="11"/>
      <c r="D2" s="13"/>
      <c r="E2" s="12" t="s">
        <v>90</v>
      </c>
      <c r="F2" s="11"/>
      <c r="G2" s="13"/>
      <c r="H2" s="12" t="s">
        <v>91</v>
      </c>
      <c r="I2" s="11"/>
      <c r="J2" s="13"/>
      <c r="K2" s="12" t="s">
        <v>92</v>
      </c>
      <c r="L2" s="11"/>
      <c r="M2" s="13"/>
      <c r="N2" s="12" t="s">
        <v>93</v>
      </c>
      <c r="O2" s="11"/>
      <c r="P2" s="13"/>
      <c r="Q2" s="12" t="s">
        <v>94</v>
      </c>
      <c r="R2" s="11"/>
      <c r="S2" s="13"/>
      <c r="T2" s="12" t="s">
        <v>95</v>
      </c>
      <c r="U2" s="11"/>
      <c r="V2" s="14"/>
      <c r="W2" s="11" t="s">
        <v>87</v>
      </c>
      <c r="X2" s="11"/>
      <c r="Y2" s="11"/>
      <c r="Z2" s="11"/>
      <c r="AA2" s="11"/>
    </row>
    <row r="3" spans="1:27" ht="15" customHeight="1">
      <c r="A3" s="6" t="s">
        <v>62</v>
      </c>
      <c r="B3" s="6" t="s">
        <v>63</v>
      </c>
      <c r="C3" s="6" t="s">
        <v>64</v>
      </c>
      <c r="D3" s="7" t="s">
        <v>65</v>
      </c>
      <c r="E3" s="6" t="s">
        <v>66</v>
      </c>
      <c r="F3" s="6" t="s">
        <v>67</v>
      </c>
      <c r="G3" s="7" t="s">
        <v>68</v>
      </c>
      <c r="H3" s="6" t="s">
        <v>69</v>
      </c>
      <c r="I3" s="6" t="s">
        <v>70</v>
      </c>
      <c r="J3" s="7" t="s">
        <v>71</v>
      </c>
      <c r="K3" s="6" t="s">
        <v>72</v>
      </c>
      <c r="L3" s="6" t="s">
        <v>73</v>
      </c>
      <c r="M3" s="7" t="s">
        <v>74</v>
      </c>
      <c r="N3" s="6" t="s">
        <v>75</v>
      </c>
      <c r="O3" s="6" t="s">
        <v>76</v>
      </c>
      <c r="P3" s="7" t="s">
        <v>77</v>
      </c>
      <c r="Q3" s="6" t="s">
        <v>78</v>
      </c>
      <c r="R3" s="6" t="s">
        <v>79</v>
      </c>
      <c r="S3" s="7" t="s">
        <v>80</v>
      </c>
      <c r="T3" s="6" t="s">
        <v>81</v>
      </c>
      <c r="U3" s="6" t="s">
        <v>82</v>
      </c>
      <c r="V3" s="8" t="s">
        <v>83</v>
      </c>
      <c r="W3" s="6" t="s">
        <v>88</v>
      </c>
      <c r="X3" s="6" t="s">
        <v>84</v>
      </c>
      <c r="Y3" s="6" t="s">
        <v>85</v>
      </c>
      <c r="Z3" s="6" t="s">
        <v>86</v>
      </c>
      <c r="AA3" s="6" t="s">
        <v>97</v>
      </c>
    </row>
    <row r="4" spans="1:27">
      <c r="A4" s="10" t="s">
        <v>107</v>
      </c>
      <c r="B4" s="10"/>
      <c r="C4" s="10"/>
      <c r="D4" s="15"/>
      <c r="E4" s="10" t="s">
        <v>18</v>
      </c>
      <c r="F4" s="10">
        <v>132</v>
      </c>
      <c r="G4" s="15">
        <v>9</v>
      </c>
      <c r="H4" s="10"/>
      <c r="I4" s="10"/>
      <c r="J4" s="15"/>
      <c r="K4" s="10"/>
      <c r="L4" s="10"/>
      <c r="M4" s="15"/>
      <c r="N4" s="10" t="s">
        <v>22</v>
      </c>
      <c r="O4" s="10">
        <v>103</v>
      </c>
      <c r="P4" s="15">
        <v>9</v>
      </c>
      <c r="Q4" s="10" t="s">
        <v>28</v>
      </c>
      <c r="R4" s="10">
        <v>78</v>
      </c>
      <c r="S4" s="15">
        <v>9</v>
      </c>
      <c r="T4" s="10"/>
      <c r="U4" s="10"/>
      <c r="V4" s="16"/>
      <c r="W4" s="17">
        <f t="shared" ref="W4:W33" si="0">COUNTA(B4,E4,H4,K4,N4,Q4,T4)</f>
        <v>3</v>
      </c>
      <c r="X4" s="17">
        <f t="shared" ref="X4:X33" si="1">SUM(C4,F4,I4,L4,O4,R4,U4)</f>
        <v>313</v>
      </c>
      <c r="Y4" s="17">
        <f t="shared" ref="Y4:Y33" si="2">SUM(D4,G4,J4,M4,P4,S4,V4)</f>
        <v>27</v>
      </c>
      <c r="Z4" s="18">
        <f t="shared" ref="Z4:Z33" si="3">X4/Y4</f>
        <v>11.592592592592593</v>
      </c>
      <c r="AA4" s="10">
        <f t="shared" ref="AA4:AA33" si="4">RANK(Z4, Z$4:Z$33, 0)</f>
        <v>18</v>
      </c>
    </row>
    <row r="5" spans="1:27">
      <c r="A5" s="10" t="s">
        <v>106</v>
      </c>
      <c r="B5" s="10" t="s">
        <v>17</v>
      </c>
      <c r="C5" s="10">
        <v>103</v>
      </c>
      <c r="D5" s="15">
        <v>9</v>
      </c>
      <c r="E5" s="10"/>
      <c r="F5" s="10"/>
      <c r="G5" s="15"/>
      <c r="H5" s="10" t="s">
        <v>29</v>
      </c>
      <c r="I5" s="10">
        <v>92</v>
      </c>
      <c r="J5" s="15">
        <v>8</v>
      </c>
      <c r="K5" s="10" t="s">
        <v>42</v>
      </c>
      <c r="L5" s="10">
        <v>87</v>
      </c>
      <c r="M5" s="15">
        <v>9</v>
      </c>
      <c r="N5" s="10"/>
      <c r="O5" s="10"/>
      <c r="P5" s="15"/>
      <c r="Q5" s="10"/>
      <c r="R5" s="10"/>
      <c r="S5" s="15"/>
      <c r="T5" s="10"/>
      <c r="U5" s="10"/>
      <c r="V5" s="16"/>
      <c r="W5" s="17">
        <f t="shared" si="0"/>
        <v>3</v>
      </c>
      <c r="X5" s="17">
        <f t="shared" si="1"/>
        <v>282</v>
      </c>
      <c r="Y5" s="17">
        <f t="shared" si="2"/>
        <v>26</v>
      </c>
      <c r="Z5" s="18">
        <f t="shared" si="3"/>
        <v>10.846153846153847</v>
      </c>
      <c r="AA5" s="10">
        <f t="shared" si="4"/>
        <v>27</v>
      </c>
    </row>
    <row r="6" spans="1:27">
      <c r="A6" s="10" t="s">
        <v>100</v>
      </c>
      <c r="B6" s="10"/>
      <c r="C6" s="10"/>
      <c r="D6" s="15"/>
      <c r="E6" s="10"/>
      <c r="F6" s="10"/>
      <c r="G6" s="15"/>
      <c r="H6" s="10" t="s">
        <v>42</v>
      </c>
      <c r="I6" s="10">
        <v>118</v>
      </c>
      <c r="J6" s="15">
        <v>9</v>
      </c>
      <c r="K6" s="10" t="s">
        <v>45</v>
      </c>
      <c r="L6" s="10">
        <v>132</v>
      </c>
      <c r="M6" s="15">
        <v>9</v>
      </c>
      <c r="N6" s="10"/>
      <c r="O6" s="10"/>
      <c r="P6" s="15"/>
      <c r="Q6" s="10"/>
      <c r="R6" s="10"/>
      <c r="S6" s="15"/>
      <c r="T6" s="10"/>
      <c r="U6" s="10"/>
      <c r="V6" s="16"/>
      <c r="W6" s="17">
        <f t="shared" si="0"/>
        <v>2</v>
      </c>
      <c r="X6" s="17">
        <f t="shared" si="1"/>
        <v>250</v>
      </c>
      <c r="Y6" s="17">
        <f t="shared" si="2"/>
        <v>18</v>
      </c>
      <c r="Z6" s="18">
        <f t="shared" si="3"/>
        <v>13.888888888888889</v>
      </c>
      <c r="AA6" s="10">
        <f t="shared" si="4"/>
        <v>3</v>
      </c>
    </row>
    <row r="7" spans="1:27">
      <c r="A7" s="10" t="s">
        <v>50</v>
      </c>
      <c r="B7" s="10"/>
      <c r="C7" s="10"/>
      <c r="D7" s="15"/>
      <c r="E7" s="10" t="s">
        <v>34</v>
      </c>
      <c r="F7" s="10">
        <v>118</v>
      </c>
      <c r="G7" s="15">
        <v>9</v>
      </c>
      <c r="H7" s="10"/>
      <c r="I7" s="10"/>
      <c r="J7" s="15"/>
      <c r="K7" s="10"/>
      <c r="L7" s="10"/>
      <c r="M7" s="15"/>
      <c r="N7" s="10" t="s">
        <v>30</v>
      </c>
      <c r="O7" s="10">
        <v>109</v>
      </c>
      <c r="P7" s="15">
        <v>9</v>
      </c>
      <c r="Q7" s="10"/>
      <c r="R7" s="10"/>
      <c r="S7" s="15"/>
      <c r="T7" s="10"/>
      <c r="U7" s="10"/>
      <c r="V7" s="16"/>
      <c r="W7" s="17">
        <f t="shared" si="0"/>
        <v>2</v>
      </c>
      <c r="X7" s="17">
        <f t="shared" si="1"/>
        <v>227</v>
      </c>
      <c r="Y7" s="17">
        <f t="shared" si="2"/>
        <v>18</v>
      </c>
      <c r="Z7" s="18">
        <f t="shared" si="3"/>
        <v>12.611111111111111</v>
      </c>
      <c r="AA7" s="10">
        <f t="shared" si="4"/>
        <v>10</v>
      </c>
    </row>
    <row r="8" spans="1:27">
      <c r="A8" s="10" t="s">
        <v>61</v>
      </c>
      <c r="B8" s="10"/>
      <c r="C8" s="10"/>
      <c r="D8" s="15"/>
      <c r="E8" s="10"/>
      <c r="F8" s="10"/>
      <c r="G8" s="15"/>
      <c r="H8" s="10" t="s">
        <v>41</v>
      </c>
      <c r="I8" s="10">
        <v>87</v>
      </c>
      <c r="J8" s="15">
        <v>9</v>
      </c>
      <c r="K8" s="10" t="s">
        <v>29</v>
      </c>
      <c r="L8" s="10">
        <v>80</v>
      </c>
      <c r="M8" s="15">
        <v>7</v>
      </c>
      <c r="N8" s="10"/>
      <c r="O8" s="10"/>
      <c r="P8" s="15"/>
      <c r="Q8" s="10"/>
      <c r="R8" s="10"/>
      <c r="S8" s="15"/>
      <c r="T8" s="10"/>
      <c r="U8" s="10"/>
      <c r="V8" s="16"/>
      <c r="W8" s="17">
        <f t="shared" si="0"/>
        <v>2</v>
      </c>
      <c r="X8" s="17">
        <f t="shared" si="1"/>
        <v>167</v>
      </c>
      <c r="Y8" s="17">
        <f t="shared" si="2"/>
        <v>16</v>
      </c>
      <c r="Z8" s="18">
        <f t="shared" si="3"/>
        <v>10.4375</v>
      </c>
      <c r="AA8" s="10">
        <f t="shared" si="4"/>
        <v>30</v>
      </c>
    </row>
    <row r="9" spans="1:27">
      <c r="A9" s="10" t="s">
        <v>104</v>
      </c>
      <c r="B9" s="10" t="s">
        <v>28</v>
      </c>
      <c r="C9" s="10">
        <v>78</v>
      </c>
      <c r="D9" s="15">
        <v>9</v>
      </c>
      <c r="E9" s="10"/>
      <c r="F9" s="10"/>
      <c r="G9" s="15"/>
      <c r="H9" s="10" t="s">
        <v>30</v>
      </c>
      <c r="I9" s="10">
        <v>93</v>
      </c>
      <c r="J9" s="15">
        <v>9</v>
      </c>
      <c r="K9" s="10" t="s">
        <v>26</v>
      </c>
      <c r="L9" s="10">
        <v>132</v>
      </c>
      <c r="M9" s="15">
        <v>9</v>
      </c>
      <c r="N9" s="10" t="s">
        <v>47</v>
      </c>
      <c r="O9" s="10">
        <v>98</v>
      </c>
      <c r="P9" s="15">
        <v>7</v>
      </c>
      <c r="Q9" s="10" t="s">
        <v>33</v>
      </c>
      <c r="R9" s="10">
        <v>132</v>
      </c>
      <c r="S9" s="15">
        <v>9</v>
      </c>
      <c r="T9" s="10"/>
      <c r="U9" s="10"/>
      <c r="V9" s="16"/>
      <c r="W9" s="17">
        <f t="shared" si="0"/>
        <v>5</v>
      </c>
      <c r="X9" s="17">
        <f t="shared" si="1"/>
        <v>533</v>
      </c>
      <c r="Y9" s="17">
        <f t="shared" si="2"/>
        <v>43</v>
      </c>
      <c r="Z9" s="18">
        <f t="shared" si="3"/>
        <v>12.395348837209303</v>
      </c>
      <c r="AA9" s="10">
        <f t="shared" si="4"/>
        <v>14</v>
      </c>
    </row>
    <row r="10" spans="1:27">
      <c r="A10" s="10" t="s">
        <v>108</v>
      </c>
      <c r="B10" s="10" t="s">
        <v>26</v>
      </c>
      <c r="C10" s="10">
        <v>116</v>
      </c>
      <c r="D10" s="15">
        <v>9</v>
      </c>
      <c r="E10" s="10"/>
      <c r="F10" s="10"/>
      <c r="G10" s="15"/>
      <c r="H10" s="10" t="s">
        <v>46</v>
      </c>
      <c r="I10" s="10">
        <v>78</v>
      </c>
      <c r="J10" s="15">
        <v>9</v>
      </c>
      <c r="K10" s="10"/>
      <c r="L10" s="10"/>
      <c r="M10" s="15"/>
      <c r="N10" s="10" t="s">
        <v>31</v>
      </c>
      <c r="O10" s="10">
        <v>70</v>
      </c>
      <c r="P10" s="15">
        <v>5</v>
      </c>
      <c r="Q10" s="10"/>
      <c r="R10" s="10"/>
      <c r="S10" s="15"/>
      <c r="T10" s="10"/>
      <c r="U10" s="10"/>
      <c r="V10" s="16"/>
      <c r="W10" s="17">
        <f t="shared" si="0"/>
        <v>3</v>
      </c>
      <c r="X10" s="17">
        <f t="shared" si="1"/>
        <v>264</v>
      </c>
      <c r="Y10" s="17">
        <f t="shared" si="2"/>
        <v>23</v>
      </c>
      <c r="Z10" s="18">
        <f t="shared" si="3"/>
        <v>11.478260869565217</v>
      </c>
      <c r="AA10" s="10">
        <f t="shared" si="4"/>
        <v>20</v>
      </c>
    </row>
    <row r="11" spans="1:27">
      <c r="A11" s="10" t="s">
        <v>53</v>
      </c>
      <c r="B11" s="10"/>
      <c r="C11" s="10"/>
      <c r="D11" s="15"/>
      <c r="E11" s="10" t="s">
        <v>17</v>
      </c>
      <c r="F11" s="10">
        <v>116</v>
      </c>
      <c r="G11" s="15">
        <v>9</v>
      </c>
      <c r="H11" s="10" t="s">
        <v>44</v>
      </c>
      <c r="I11" s="10">
        <v>70</v>
      </c>
      <c r="J11" s="15">
        <v>5</v>
      </c>
      <c r="K11" s="10"/>
      <c r="L11" s="10"/>
      <c r="M11" s="15"/>
      <c r="N11" s="10"/>
      <c r="O11" s="10"/>
      <c r="P11" s="15"/>
      <c r="Q11" s="10"/>
      <c r="R11" s="10"/>
      <c r="S11" s="15"/>
      <c r="T11" s="10"/>
      <c r="U11" s="10"/>
      <c r="V11" s="16"/>
      <c r="W11" s="17">
        <f t="shared" si="0"/>
        <v>2</v>
      </c>
      <c r="X11" s="17">
        <f t="shared" si="1"/>
        <v>186</v>
      </c>
      <c r="Y11" s="17">
        <f t="shared" si="2"/>
        <v>14</v>
      </c>
      <c r="Z11" s="18">
        <f t="shared" si="3"/>
        <v>13.285714285714286</v>
      </c>
      <c r="AA11" s="10">
        <f t="shared" si="4"/>
        <v>5</v>
      </c>
    </row>
    <row r="12" spans="1:27">
      <c r="A12" s="10" t="s">
        <v>51</v>
      </c>
      <c r="B12" s="10"/>
      <c r="C12" s="10"/>
      <c r="D12" s="15"/>
      <c r="E12" s="10"/>
      <c r="F12" s="10"/>
      <c r="G12" s="15"/>
      <c r="H12" s="10" t="s">
        <v>40</v>
      </c>
      <c r="I12" s="10">
        <v>132</v>
      </c>
      <c r="J12" s="15">
        <v>9</v>
      </c>
      <c r="K12" s="10" t="s">
        <v>25</v>
      </c>
      <c r="L12" s="10">
        <v>112</v>
      </c>
      <c r="M12" s="15">
        <v>9</v>
      </c>
      <c r="N12" s="10" t="s">
        <v>19</v>
      </c>
      <c r="O12" s="10">
        <v>116</v>
      </c>
      <c r="P12" s="15">
        <v>9</v>
      </c>
      <c r="Q12" s="10" t="s">
        <v>43</v>
      </c>
      <c r="R12" s="10">
        <v>112</v>
      </c>
      <c r="S12" s="15">
        <v>9</v>
      </c>
      <c r="T12" s="10"/>
      <c r="U12" s="10"/>
      <c r="V12" s="16"/>
      <c r="W12" s="17">
        <f t="shared" si="0"/>
        <v>4</v>
      </c>
      <c r="X12" s="17">
        <f t="shared" si="1"/>
        <v>472</v>
      </c>
      <c r="Y12" s="17">
        <f t="shared" si="2"/>
        <v>36</v>
      </c>
      <c r="Z12" s="18">
        <f t="shared" si="3"/>
        <v>13.111111111111111</v>
      </c>
      <c r="AA12" s="10">
        <f t="shared" si="4"/>
        <v>7</v>
      </c>
    </row>
    <row r="13" spans="1:27">
      <c r="A13" s="10" t="s">
        <v>112</v>
      </c>
      <c r="B13" s="10" t="s">
        <v>18</v>
      </c>
      <c r="C13" s="10">
        <v>87</v>
      </c>
      <c r="D13" s="15">
        <v>9</v>
      </c>
      <c r="E13" s="10"/>
      <c r="F13" s="10"/>
      <c r="G13" s="15"/>
      <c r="H13" s="10" t="s">
        <v>38</v>
      </c>
      <c r="I13" s="10">
        <v>109</v>
      </c>
      <c r="J13" s="15">
        <v>9</v>
      </c>
      <c r="K13" s="10" t="s">
        <v>30</v>
      </c>
      <c r="L13" s="10">
        <v>103</v>
      </c>
      <c r="M13" s="15">
        <v>9</v>
      </c>
      <c r="N13" s="10"/>
      <c r="O13" s="10"/>
      <c r="P13" s="15"/>
      <c r="Q13" s="10"/>
      <c r="R13" s="10"/>
      <c r="S13" s="15"/>
      <c r="T13" s="10"/>
      <c r="U13" s="10"/>
      <c r="V13" s="16"/>
      <c r="W13" s="17">
        <f t="shared" si="0"/>
        <v>3</v>
      </c>
      <c r="X13" s="17">
        <f t="shared" si="1"/>
        <v>299</v>
      </c>
      <c r="Y13" s="17">
        <f t="shared" si="2"/>
        <v>27</v>
      </c>
      <c r="Z13" s="18">
        <f t="shared" si="3"/>
        <v>11.074074074074074</v>
      </c>
      <c r="AA13" s="10">
        <f t="shared" si="4"/>
        <v>25</v>
      </c>
    </row>
    <row r="14" spans="1:27">
      <c r="A14" s="10" t="s">
        <v>55</v>
      </c>
      <c r="B14" s="10"/>
      <c r="C14" s="10"/>
      <c r="D14" s="15"/>
      <c r="E14" s="10" t="s">
        <v>21</v>
      </c>
      <c r="F14" s="10">
        <v>80</v>
      </c>
      <c r="G14" s="15">
        <v>7</v>
      </c>
      <c r="H14" s="10"/>
      <c r="I14" s="10"/>
      <c r="J14" s="15"/>
      <c r="K14" s="10" t="s">
        <v>34</v>
      </c>
      <c r="L14" s="10">
        <v>98</v>
      </c>
      <c r="M14" s="15">
        <v>7</v>
      </c>
      <c r="N14" s="10" t="s">
        <v>25</v>
      </c>
      <c r="O14" s="10">
        <v>111</v>
      </c>
      <c r="P14" s="15">
        <v>9</v>
      </c>
      <c r="Q14" s="10" t="s">
        <v>31</v>
      </c>
      <c r="R14" s="10">
        <v>111</v>
      </c>
      <c r="S14" s="15">
        <v>9</v>
      </c>
      <c r="T14" s="10"/>
      <c r="U14" s="10"/>
      <c r="V14" s="16"/>
      <c r="W14" s="17">
        <f t="shared" si="0"/>
        <v>4</v>
      </c>
      <c r="X14" s="17">
        <f t="shared" si="1"/>
        <v>400</v>
      </c>
      <c r="Y14" s="17">
        <f t="shared" si="2"/>
        <v>32</v>
      </c>
      <c r="Z14" s="18">
        <f t="shared" si="3"/>
        <v>12.5</v>
      </c>
      <c r="AA14" s="10">
        <f t="shared" si="4"/>
        <v>13</v>
      </c>
    </row>
    <row r="15" spans="1:27">
      <c r="A15" s="10" t="s">
        <v>113</v>
      </c>
      <c r="B15" s="10" t="s">
        <v>19</v>
      </c>
      <c r="C15" s="10">
        <v>118</v>
      </c>
      <c r="D15" s="15">
        <v>9</v>
      </c>
      <c r="E15" s="10" t="s">
        <v>29</v>
      </c>
      <c r="F15" s="10">
        <v>98</v>
      </c>
      <c r="G15" s="15">
        <v>7</v>
      </c>
      <c r="H15" s="10"/>
      <c r="I15" s="10"/>
      <c r="J15" s="15"/>
      <c r="K15" s="10"/>
      <c r="L15" s="10"/>
      <c r="M15" s="15"/>
      <c r="N15" s="10"/>
      <c r="O15" s="10"/>
      <c r="P15" s="15"/>
      <c r="Q15" s="10"/>
      <c r="R15" s="10"/>
      <c r="S15" s="15"/>
      <c r="T15" s="10"/>
      <c r="U15" s="10"/>
      <c r="V15" s="16"/>
      <c r="W15" s="17">
        <f t="shared" si="0"/>
        <v>2</v>
      </c>
      <c r="X15" s="17">
        <f t="shared" si="1"/>
        <v>216</v>
      </c>
      <c r="Y15" s="17">
        <f t="shared" si="2"/>
        <v>16</v>
      </c>
      <c r="Z15" s="18">
        <f t="shared" si="3"/>
        <v>13.5</v>
      </c>
      <c r="AA15" s="10">
        <f t="shared" si="4"/>
        <v>4</v>
      </c>
    </row>
    <row r="16" spans="1:27">
      <c r="A16" s="10" t="s">
        <v>59</v>
      </c>
      <c r="B16" s="10"/>
      <c r="C16" s="10"/>
      <c r="D16" s="15"/>
      <c r="E16" s="10" t="s">
        <v>23</v>
      </c>
      <c r="F16" s="10">
        <v>103</v>
      </c>
      <c r="G16" s="15">
        <v>9</v>
      </c>
      <c r="H16" s="10"/>
      <c r="I16" s="10"/>
      <c r="J16" s="15"/>
      <c r="K16" s="10" t="s">
        <v>44</v>
      </c>
      <c r="L16" s="10">
        <v>70</v>
      </c>
      <c r="M16" s="15">
        <v>5</v>
      </c>
      <c r="N16" s="10"/>
      <c r="O16" s="10"/>
      <c r="P16" s="15"/>
      <c r="Q16" s="10" t="s">
        <v>44</v>
      </c>
      <c r="R16" s="10">
        <v>116</v>
      </c>
      <c r="S16" s="15">
        <v>9</v>
      </c>
      <c r="T16" s="10"/>
      <c r="U16" s="10"/>
      <c r="V16" s="16"/>
      <c r="W16" s="17">
        <f t="shared" si="0"/>
        <v>3</v>
      </c>
      <c r="X16" s="17">
        <f t="shared" si="1"/>
        <v>289</v>
      </c>
      <c r="Y16" s="17">
        <f t="shared" si="2"/>
        <v>23</v>
      </c>
      <c r="Z16" s="18">
        <f t="shared" si="3"/>
        <v>12.565217391304348</v>
      </c>
      <c r="AA16" s="10">
        <f t="shared" si="4"/>
        <v>12</v>
      </c>
    </row>
    <row r="17" spans="1:27">
      <c r="A17" s="10" t="s">
        <v>57</v>
      </c>
      <c r="B17" s="10"/>
      <c r="C17" s="10"/>
      <c r="D17" s="15"/>
      <c r="E17" s="10" t="s">
        <v>31</v>
      </c>
      <c r="F17" s="10">
        <v>78</v>
      </c>
      <c r="G17" s="15">
        <v>9</v>
      </c>
      <c r="H17" s="10" t="s">
        <v>19</v>
      </c>
      <c r="I17" s="10">
        <v>103</v>
      </c>
      <c r="J17" s="15">
        <v>9</v>
      </c>
      <c r="K17" s="10"/>
      <c r="L17" s="10"/>
      <c r="M17" s="15"/>
      <c r="N17" s="10" t="s">
        <v>29</v>
      </c>
      <c r="O17" s="10">
        <v>80</v>
      </c>
      <c r="P17" s="15">
        <v>7</v>
      </c>
      <c r="Q17" s="10" t="s">
        <v>30</v>
      </c>
      <c r="R17" s="10">
        <v>132</v>
      </c>
      <c r="S17" s="15">
        <v>9</v>
      </c>
      <c r="T17" s="10"/>
      <c r="U17" s="10"/>
      <c r="V17" s="16"/>
      <c r="W17" s="17">
        <f t="shared" si="0"/>
        <v>4</v>
      </c>
      <c r="X17" s="17">
        <f t="shared" si="1"/>
        <v>393</v>
      </c>
      <c r="Y17" s="17">
        <f t="shared" si="2"/>
        <v>34</v>
      </c>
      <c r="Z17" s="18">
        <f t="shared" si="3"/>
        <v>11.558823529411764</v>
      </c>
      <c r="AA17" s="10">
        <f t="shared" si="4"/>
        <v>19</v>
      </c>
    </row>
    <row r="18" spans="1:27">
      <c r="A18" s="10" t="s">
        <v>56</v>
      </c>
      <c r="B18" s="10"/>
      <c r="C18" s="10"/>
      <c r="D18" s="15"/>
      <c r="E18" s="10" t="s">
        <v>35</v>
      </c>
      <c r="F18" s="10">
        <v>111</v>
      </c>
      <c r="G18" s="15">
        <v>9</v>
      </c>
      <c r="H18" s="10"/>
      <c r="I18" s="10"/>
      <c r="J18" s="15"/>
      <c r="K18" s="10" t="s">
        <v>46</v>
      </c>
      <c r="L18" s="10">
        <v>109</v>
      </c>
      <c r="M18" s="15">
        <v>9</v>
      </c>
      <c r="N18" s="10"/>
      <c r="O18" s="10"/>
      <c r="P18" s="15"/>
      <c r="Q18" s="10" t="s">
        <v>17</v>
      </c>
      <c r="R18" s="10">
        <v>70</v>
      </c>
      <c r="S18" s="15">
        <v>5</v>
      </c>
      <c r="T18" s="10"/>
      <c r="U18" s="10"/>
      <c r="V18" s="16"/>
      <c r="W18" s="17">
        <f t="shared" si="0"/>
        <v>3</v>
      </c>
      <c r="X18" s="17">
        <f t="shared" si="1"/>
        <v>290</v>
      </c>
      <c r="Y18" s="17">
        <f t="shared" si="2"/>
        <v>23</v>
      </c>
      <c r="Z18" s="18">
        <f t="shared" si="3"/>
        <v>12.608695652173912</v>
      </c>
      <c r="AA18" s="10">
        <f t="shared" si="4"/>
        <v>11</v>
      </c>
    </row>
    <row r="19" spans="1:27">
      <c r="A19" s="10" t="s">
        <v>98</v>
      </c>
      <c r="B19" s="10" t="s">
        <v>20</v>
      </c>
      <c r="C19" s="10">
        <v>98</v>
      </c>
      <c r="D19" s="15">
        <v>7</v>
      </c>
      <c r="E19" s="10"/>
      <c r="F19" s="10"/>
      <c r="G19" s="15"/>
      <c r="H19" s="10"/>
      <c r="I19" s="10"/>
      <c r="J19" s="15"/>
      <c r="K19" s="10" t="s">
        <v>24</v>
      </c>
      <c r="L19" s="10">
        <v>93</v>
      </c>
      <c r="M19" s="15">
        <v>9</v>
      </c>
      <c r="N19" s="10"/>
      <c r="O19" s="10"/>
      <c r="P19" s="15"/>
      <c r="Q19" s="10"/>
      <c r="R19" s="10"/>
      <c r="S19" s="15"/>
      <c r="T19" s="10"/>
      <c r="U19" s="10"/>
      <c r="V19" s="16"/>
      <c r="W19" s="17">
        <f t="shared" si="0"/>
        <v>2</v>
      </c>
      <c r="X19" s="17">
        <f t="shared" si="1"/>
        <v>191</v>
      </c>
      <c r="Y19" s="17">
        <f t="shared" si="2"/>
        <v>16</v>
      </c>
      <c r="Z19" s="18">
        <f t="shared" si="3"/>
        <v>11.9375</v>
      </c>
      <c r="AA19" s="10">
        <f t="shared" si="4"/>
        <v>16</v>
      </c>
    </row>
    <row r="20" spans="1:27">
      <c r="A20" s="10" t="s">
        <v>49</v>
      </c>
      <c r="B20" s="10" t="s">
        <v>22</v>
      </c>
      <c r="C20" s="10">
        <v>109</v>
      </c>
      <c r="D20" s="15">
        <v>9</v>
      </c>
      <c r="E20" s="10" t="s">
        <v>38</v>
      </c>
      <c r="F20" s="10">
        <v>112</v>
      </c>
      <c r="G20" s="15">
        <v>9</v>
      </c>
      <c r="H20" s="10" t="s">
        <v>43</v>
      </c>
      <c r="I20" s="10">
        <v>111</v>
      </c>
      <c r="J20" s="15">
        <v>9</v>
      </c>
      <c r="K20" s="10"/>
      <c r="L20" s="10"/>
      <c r="M20" s="15"/>
      <c r="N20" s="10"/>
      <c r="O20" s="10"/>
      <c r="P20" s="15"/>
      <c r="Q20" s="10" t="s">
        <v>29</v>
      </c>
      <c r="R20" s="10">
        <v>93</v>
      </c>
      <c r="S20" s="15">
        <v>9</v>
      </c>
      <c r="T20" s="10"/>
      <c r="U20" s="10"/>
      <c r="V20" s="16"/>
      <c r="W20" s="17">
        <f t="shared" si="0"/>
        <v>4</v>
      </c>
      <c r="X20" s="17">
        <f t="shared" si="1"/>
        <v>425</v>
      </c>
      <c r="Y20" s="17">
        <f t="shared" si="2"/>
        <v>36</v>
      </c>
      <c r="Z20" s="18">
        <f t="shared" si="3"/>
        <v>11.805555555555555</v>
      </c>
      <c r="AA20" s="10">
        <f t="shared" si="4"/>
        <v>17</v>
      </c>
    </row>
    <row r="21" spans="1:27">
      <c r="A21" s="10" t="s">
        <v>48</v>
      </c>
      <c r="B21" s="10" t="s">
        <v>21</v>
      </c>
      <c r="C21" s="10">
        <v>111</v>
      </c>
      <c r="D21" s="15">
        <v>9</v>
      </c>
      <c r="E21" s="10" t="s">
        <v>36</v>
      </c>
      <c r="F21" s="10">
        <v>109</v>
      </c>
      <c r="G21" s="15">
        <v>9</v>
      </c>
      <c r="H21" s="10"/>
      <c r="I21" s="10"/>
      <c r="J21" s="15"/>
      <c r="K21" s="10" t="s">
        <v>21</v>
      </c>
      <c r="L21" s="10">
        <v>118</v>
      </c>
      <c r="M21" s="15">
        <v>9</v>
      </c>
      <c r="N21" s="10" t="s">
        <v>24</v>
      </c>
      <c r="O21" s="10">
        <v>132</v>
      </c>
      <c r="P21" s="15">
        <v>9</v>
      </c>
      <c r="Q21" s="10" t="s">
        <v>34</v>
      </c>
      <c r="R21" s="10">
        <v>109</v>
      </c>
      <c r="S21" s="15">
        <v>9</v>
      </c>
      <c r="T21" s="10"/>
      <c r="U21" s="10"/>
      <c r="V21" s="16"/>
      <c r="W21" s="17">
        <f t="shared" si="0"/>
        <v>5</v>
      </c>
      <c r="X21" s="17">
        <f t="shared" si="1"/>
        <v>579</v>
      </c>
      <c r="Y21" s="17">
        <f t="shared" si="2"/>
        <v>45</v>
      </c>
      <c r="Z21" s="18">
        <f t="shared" si="3"/>
        <v>12.866666666666667</v>
      </c>
      <c r="AA21" s="10">
        <f t="shared" si="4"/>
        <v>8</v>
      </c>
    </row>
    <row r="22" spans="1:27">
      <c r="A22" s="10" t="s">
        <v>99</v>
      </c>
      <c r="B22" s="10" t="s">
        <v>31</v>
      </c>
      <c r="C22" s="10">
        <v>93</v>
      </c>
      <c r="D22" s="15">
        <v>9</v>
      </c>
      <c r="E22" s="10"/>
      <c r="F22" s="10"/>
      <c r="G22" s="15"/>
      <c r="H22" s="10" t="s">
        <v>34</v>
      </c>
      <c r="I22" s="10">
        <v>98</v>
      </c>
      <c r="J22" s="15">
        <v>7</v>
      </c>
      <c r="K22" s="10" t="s">
        <v>19</v>
      </c>
      <c r="L22" s="10">
        <v>111</v>
      </c>
      <c r="M22" s="15">
        <v>9</v>
      </c>
      <c r="N22" s="10" t="s">
        <v>26</v>
      </c>
      <c r="O22" s="10">
        <v>87</v>
      </c>
      <c r="P22" s="15">
        <v>9</v>
      </c>
      <c r="Q22" s="10" t="s">
        <v>19</v>
      </c>
      <c r="R22" s="10">
        <v>103</v>
      </c>
      <c r="S22" s="15">
        <v>9</v>
      </c>
      <c r="T22" s="10"/>
      <c r="U22" s="10"/>
      <c r="V22" s="16"/>
      <c r="W22" s="17">
        <f t="shared" si="0"/>
        <v>5</v>
      </c>
      <c r="X22" s="17">
        <f t="shared" si="1"/>
        <v>492</v>
      </c>
      <c r="Y22" s="17">
        <f t="shared" si="2"/>
        <v>43</v>
      </c>
      <c r="Z22" s="18">
        <f t="shared" si="3"/>
        <v>11.44186046511628</v>
      </c>
      <c r="AA22" s="10">
        <f t="shared" si="4"/>
        <v>22</v>
      </c>
    </row>
    <row r="23" spans="1:27">
      <c r="A23" s="10" t="s">
        <v>109</v>
      </c>
      <c r="B23" s="10" t="s">
        <v>23</v>
      </c>
      <c r="C23" s="10">
        <v>93</v>
      </c>
      <c r="D23" s="15">
        <v>9</v>
      </c>
      <c r="E23" s="10"/>
      <c r="F23" s="10"/>
      <c r="G23" s="15"/>
      <c r="H23" s="10" t="s">
        <v>45</v>
      </c>
      <c r="I23" s="10">
        <v>112</v>
      </c>
      <c r="J23" s="15">
        <v>9</v>
      </c>
      <c r="K23" s="10"/>
      <c r="L23" s="10"/>
      <c r="M23" s="15"/>
      <c r="N23" s="10" t="s">
        <v>34</v>
      </c>
      <c r="O23" s="10">
        <v>93</v>
      </c>
      <c r="P23" s="15">
        <v>9</v>
      </c>
      <c r="Q23" s="10" t="s">
        <v>23</v>
      </c>
      <c r="R23" s="10">
        <v>93</v>
      </c>
      <c r="S23" s="15">
        <v>9</v>
      </c>
      <c r="T23" s="10"/>
      <c r="U23" s="10"/>
      <c r="V23" s="16"/>
      <c r="W23" s="17">
        <f t="shared" si="0"/>
        <v>4</v>
      </c>
      <c r="X23" s="17">
        <f t="shared" si="1"/>
        <v>391</v>
      </c>
      <c r="Y23" s="17">
        <f t="shared" si="2"/>
        <v>36</v>
      </c>
      <c r="Z23" s="18">
        <f t="shared" si="3"/>
        <v>10.861111111111111</v>
      </c>
      <c r="AA23" s="10">
        <f t="shared" si="4"/>
        <v>26</v>
      </c>
    </row>
    <row r="24" spans="1:27">
      <c r="A24" s="10" t="s">
        <v>102</v>
      </c>
      <c r="B24" s="10" t="s">
        <v>29</v>
      </c>
      <c r="C24" s="10">
        <v>132</v>
      </c>
      <c r="D24" s="15">
        <v>9</v>
      </c>
      <c r="E24" s="10" t="s">
        <v>37</v>
      </c>
      <c r="F24" s="10">
        <v>70</v>
      </c>
      <c r="G24" s="15">
        <v>5</v>
      </c>
      <c r="H24" s="10"/>
      <c r="I24" s="10"/>
      <c r="J24" s="15"/>
      <c r="K24" s="10" t="s">
        <v>43</v>
      </c>
      <c r="L24" s="10">
        <v>93</v>
      </c>
      <c r="M24" s="15">
        <v>9</v>
      </c>
      <c r="N24" s="10"/>
      <c r="O24" s="10"/>
      <c r="P24" s="15"/>
      <c r="Q24" s="10"/>
      <c r="R24" s="10"/>
      <c r="S24" s="15"/>
      <c r="T24" s="10"/>
      <c r="U24" s="10"/>
      <c r="V24" s="16"/>
      <c r="W24" s="17">
        <f t="shared" si="0"/>
        <v>3</v>
      </c>
      <c r="X24" s="17">
        <f t="shared" si="1"/>
        <v>295</v>
      </c>
      <c r="Y24" s="17">
        <f t="shared" si="2"/>
        <v>23</v>
      </c>
      <c r="Z24" s="18">
        <f t="shared" si="3"/>
        <v>12.826086956521738</v>
      </c>
      <c r="AA24" s="10">
        <f t="shared" si="4"/>
        <v>9</v>
      </c>
    </row>
    <row r="25" spans="1:27">
      <c r="A25" s="10" t="s">
        <v>54</v>
      </c>
      <c r="B25" s="10"/>
      <c r="C25" s="10"/>
      <c r="D25" s="15"/>
      <c r="E25" s="10"/>
      <c r="F25" s="10"/>
      <c r="G25" s="15"/>
      <c r="H25" s="10"/>
      <c r="I25" s="10"/>
      <c r="J25" s="15"/>
      <c r="K25" s="10"/>
      <c r="L25" s="10"/>
      <c r="M25" s="15"/>
      <c r="N25" s="10" t="s">
        <v>23</v>
      </c>
      <c r="O25" s="10">
        <v>93</v>
      </c>
      <c r="P25" s="15">
        <v>9</v>
      </c>
      <c r="Q25" s="10" t="s">
        <v>18</v>
      </c>
      <c r="R25" s="10">
        <v>80</v>
      </c>
      <c r="S25" s="15">
        <v>7</v>
      </c>
      <c r="T25" s="10"/>
      <c r="U25" s="10"/>
      <c r="V25" s="16"/>
      <c r="W25" s="17">
        <f t="shared" si="0"/>
        <v>2</v>
      </c>
      <c r="X25" s="17">
        <f t="shared" si="1"/>
        <v>173</v>
      </c>
      <c r="Y25" s="17">
        <f t="shared" si="2"/>
        <v>16</v>
      </c>
      <c r="Z25" s="18">
        <f t="shared" si="3"/>
        <v>10.8125</v>
      </c>
      <c r="AA25" s="10">
        <f t="shared" si="4"/>
        <v>28</v>
      </c>
    </row>
    <row r="26" spans="1:27">
      <c r="A26" s="10" t="s">
        <v>60</v>
      </c>
      <c r="B26" s="10"/>
      <c r="C26" s="10"/>
      <c r="D26" s="15"/>
      <c r="E26" s="10" t="s">
        <v>24</v>
      </c>
      <c r="F26" s="10">
        <v>93</v>
      </c>
      <c r="G26" s="15">
        <v>9</v>
      </c>
      <c r="H26" s="10" t="s">
        <v>20</v>
      </c>
      <c r="I26" s="10">
        <v>93</v>
      </c>
      <c r="J26" s="15">
        <v>9</v>
      </c>
      <c r="K26" s="10"/>
      <c r="L26" s="10"/>
      <c r="M26" s="15"/>
      <c r="N26" s="10" t="s">
        <v>35</v>
      </c>
      <c r="O26" s="10">
        <v>132</v>
      </c>
      <c r="P26" s="15">
        <v>9</v>
      </c>
      <c r="Q26" s="10" t="s">
        <v>35</v>
      </c>
      <c r="R26" s="10">
        <v>98</v>
      </c>
      <c r="S26" s="15">
        <v>7</v>
      </c>
      <c r="T26" s="10"/>
      <c r="U26" s="10"/>
      <c r="V26" s="16"/>
      <c r="W26" s="17">
        <f t="shared" si="0"/>
        <v>4</v>
      </c>
      <c r="X26" s="17">
        <f t="shared" si="1"/>
        <v>416</v>
      </c>
      <c r="Y26" s="17">
        <f t="shared" si="2"/>
        <v>34</v>
      </c>
      <c r="Z26" s="18">
        <f t="shared" si="3"/>
        <v>12.235294117647058</v>
      </c>
      <c r="AA26" s="10">
        <f t="shared" si="4"/>
        <v>15</v>
      </c>
    </row>
    <row r="27" spans="1:27">
      <c r="A27" s="10" t="s">
        <v>105</v>
      </c>
      <c r="B27" s="10" t="s">
        <v>27</v>
      </c>
      <c r="C27" s="10">
        <v>80</v>
      </c>
      <c r="D27" s="15">
        <v>7</v>
      </c>
      <c r="E27" s="10" t="s">
        <v>33</v>
      </c>
      <c r="F27" s="10">
        <v>87</v>
      </c>
      <c r="G27" s="15">
        <v>9</v>
      </c>
      <c r="H27" s="10"/>
      <c r="I27" s="10"/>
      <c r="J27" s="15"/>
      <c r="K27" s="10"/>
      <c r="L27" s="10"/>
      <c r="M27" s="15"/>
      <c r="N27" s="10" t="s">
        <v>39</v>
      </c>
      <c r="O27" s="10">
        <v>118</v>
      </c>
      <c r="P27" s="15">
        <v>9</v>
      </c>
      <c r="Q27" s="10"/>
      <c r="R27" s="10"/>
      <c r="S27" s="15"/>
      <c r="T27" s="10"/>
      <c r="U27" s="10"/>
      <c r="V27" s="16"/>
      <c r="W27" s="17">
        <f t="shared" si="0"/>
        <v>3</v>
      </c>
      <c r="X27" s="17">
        <f t="shared" si="1"/>
        <v>285</v>
      </c>
      <c r="Y27" s="17">
        <f t="shared" si="2"/>
        <v>25</v>
      </c>
      <c r="Z27" s="18">
        <f t="shared" si="3"/>
        <v>11.4</v>
      </c>
      <c r="AA27" s="10">
        <f t="shared" si="4"/>
        <v>24</v>
      </c>
    </row>
    <row r="28" spans="1:27">
      <c r="A28" s="10" t="s">
        <v>103</v>
      </c>
      <c r="B28" s="10"/>
      <c r="C28" s="10"/>
      <c r="D28" s="15"/>
      <c r="E28" s="10"/>
      <c r="F28" s="10"/>
      <c r="G28" s="15"/>
      <c r="H28" s="10" t="s">
        <v>25</v>
      </c>
      <c r="I28" s="10">
        <v>80</v>
      </c>
      <c r="J28" s="15">
        <v>7</v>
      </c>
      <c r="K28" s="10"/>
      <c r="L28" s="10"/>
      <c r="M28" s="15"/>
      <c r="N28" s="10"/>
      <c r="O28" s="10"/>
      <c r="P28" s="15"/>
      <c r="Q28" s="10"/>
      <c r="R28" s="10"/>
      <c r="S28" s="15"/>
      <c r="T28" s="10"/>
      <c r="U28" s="10"/>
      <c r="V28" s="16"/>
      <c r="W28" s="17">
        <f t="shared" si="0"/>
        <v>1</v>
      </c>
      <c r="X28" s="17">
        <f t="shared" si="1"/>
        <v>80</v>
      </c>
      <c r="Y28" s="17">
        <f t="shared" si="2"/>
        <v>7</v>
      </c>
      <c r="Z28" s="18">
        <f t="shared" si="3"/>
        <v>11.428571428571429</v>
      </c>
      <c r="AA28" s="10">
        <f t="shared" si="4"/>
        <v>23</v>
      </c>
    </row>
    <row r="29" spans="1:27">
      <c r="A29" s="10" t="s">
        <v>101</v>
      </c>
      <c r="B29" s="10" t="s">
        <v>24</v>
      </c>
      <c r="C29" s="10">
        <v>70</v>
      </c>
      <c r="D29" s="15">
        <v>5</v>
      </c>
      <c r="E29" s="10"/>
      <c r="F29" s="10"/>
      <c r="G29" s="15"/>
      <c r="H29" s="10"/>
      <c r="I29" s="10"/>
      <c r="J29" s="15"/>
      <c r="K29" s="10"/>
      <c r="L29" s="10"/>
      <c r="M29" s="15"/>
      <c r="N29" s="10"/>
      <c r="O29" s="10"/>
      <c r="P29" s="15"/>
      <c r="Q29" s="10"/>
      <c r="R29" s="10"/>
      <c r="S29" s="15"/>
      <c r="T29" s="10"/>
      <c r="U29" s="10"/>
      <c r="V29" s="16"/>
      <c r="W29" s="17">
        <f t="shared" si="0"/>
        <v>1</v>
      </c>
      <c r="X29" s="17">
        <f t="shared" si="1"/>
        <v>70</v>
      </c>
      <c r="Y29" s="17">
        <f t="shared" si="2"/>
        <v>5</v>
      </c>
      <c r="Z29" s="18">
        <f t="shared" si="3"/>
        <v>14</v>
      </c>
      <c r="AA29" s="10">
        <f t="shared" si="4"/>
        <v>2</v>
      </c>
    </row>
    <row r="30" spans="1:27">
      <c r="A30" s="10" t="s">
        <v>110</v>
      </c>
      <c r="B30" s="10" t="s">
        <v>25</v>
      </c>
      <c r="C30" s="10">
        <v>112</v>
      </c>
      <c r="D30" s="15">
        <v>9</v>
      </c>
      <c r="E30" s="10"/>
      <c r="F30" s="10"/>
      <c r="G30" s="15"/>
      <c r="H30" s="10"/>
      <c r="I30" s="10"/>
      <c r="J30" s="15"/>
      <c r="K30" s="10"/>
      <c r="L30" s="10"/>
      <c r="M30" s="15"/>
      <c r="N30" s="10" t="s">
        <v>17</v>
      </c>
      <c r="O30" s="10">
        <v>78</v>
      </c>
      <c r="P30" s="15">
        <v>9</v>
      </c>
      <c r="Q30" s="10"/>
      <c r="R30" s="10"/>
      <c r="S30" s="15"/>
      <c r="T30" s="10"/>
      <c r="U30" s="10"/>
      <c r="V30" s="16"/>
      <c r="W30" s="17">
        <f t="shared" si="0"/>
        <v>2</v>
      </c>
      <c r="X30" s="17">
        <f t="shared" si="1"/>
        <v>190</v>
      </c>
      <c r="Y30" s="17">
        <f t="shared" si="2"/>
        <v>18</v>
      </c>
      <c r="Z30" s="18">
        <f t="shared" si="3"/>
        <v>10.555555555555555</v>
      </c>
      <c r="AA30" s="10">
        <f t="shared" si="4"/>
        <v>29</v>
      </c>
    </row>
    <row r="31" spans="1:27">
      <c r="A31" s="10" t="s">
        <v>52</v>
      </c>
      <c r="B31" s="10"/>
      <c r="C31" s="10"/>
      <c r="D31" s="15"/>
      <c r="E31" s="10"/>
      <c r="F31" s="10"/>
      <c r="G31" s="15"/>
      <c r="H31" s="10" t="s">
        <v>33</v>
      </c>
      <c r="I31" s="10">
        <v>132</v>
      </c>
      <c r="J31" s="15">
        <v>9</v>
      </c>
      <c r="K31" s="10" t="s">
        <v>47</v>
      </c>
      <c r="L31" s="10">
        <v>116</v>
      </c>
      <c r="M31" s="15">
        <v>9</v>
      </c>
      <c r="N31" s="10" t="s">
        <v>45</v>
      </c>
      <c r="O31" s="10">
        <v>112</v>
      </c>
      <c r="P31" s="15">
        <v>9</v>
      </c>
      <c r="Q31" s="10" t="s">
        <v>37</v>
      </c>
      <c r="R31" s="10">
        <v>118</v>
      </c>
      <c r="S31" s="15">
        <v>9</v>
      </c>
      <c r="T31" s="10"/>
      <c r="U31" s="10"/>
      <c r="V31" s="16"/>
      <c r="W31" s="17">
        <f t="shared" si="0"/>
        <v>4</v>
      </c>
      <c r="X31" s="17">
        <f t="shared" si="1"/>
        <v>478</v>
      </c>
      <c r="Y31" s="17">
        <f t="shared" si="2"/>
        <v>36</v>
      </c>
      <c r="Z31" s="18">
        <f t="shared" si="3"/>
        <v>13.277777777777779</v>
      </c>
      <c r="AA31" s="10">
        <f t="shared" si="4"/>
        <v>6</v>
      </c>
    </row>
    <row r="32" spans="1:27">
      <c r="A32" s="10" t="s">
        <v>58</v>
      </c>
      <c r="B32" s="10"/>
      <c r="C32" s="10"/>
      <c r="D32" s="15"/>
      <c r="E32" s="10" t="s">
        <v>39</v>
      </c>
      <c r="F32" s="10">
        <v>132</v>
      </c>
      <c r="G32" s="15">
        <v>9</v>
      </c>
      <c r="H32" s="10"/>
      <c r="I32" s="10"/>
      <c r="J32" s="15"/>
      <c r="K32" s="10"/>
      <c r="L32" s="10"/>
      <c r="M32" s="15"/>
      <c r="N32" s="10"/>
      <c r="O32" s="10"/>
      <c r="P32" s="15"/>
      <c r="Q32" s="10"/>
      <c r="R32" s="10"/>
      <c r="S32" s="15"/>
      <c r="T32" s="10"/>
      <c r="U32" s="10"/>
      <c r="V32" s="16"/>
      <c r="W32" s="17">
        <f t="shared" si="0"/>
        <v>1</v>
      </c>
      <c r="X32" s="17">
        <f t="shared" si="1"/>
        <v>132</v>
      </c>
      <c r="Y32" s="17">
        <f t="shared" si="2"/>
        <v>9</v>
      </c>
      <c r="Z32" s="18">
        <f t="shared" si="3"/>
        <v>14.666666666666666</v>
      </c>
      <c r="AA32" s="10">
        <f t="shared" si="4"/>
        <v>1</v>
      </c>
    </row>
    <row r="33" spans="1:27" ht="15.75" thickBot="1">
      <c r="A33" s="10" t="s">
        <v>111</v>
      </c>
      <c r="B33" s="10" t="s">
        <v>30</v>
      </c>
      <c r="C33" s="10">
        <v>132</v>
      </c>
      <c r="D33" s="15">
        <v>9</v>
      </c>
      <c r="E33" s="10"/>
      <c r="F33" s="10"/>
      <c r="G33" s="15"/>
      <c r="H33" s="10" t="s">
        <v>37</v>
      </c>
      <c r="I33" s="10">
        <v>116</v>
      </c>
      <c r="J33" s="15">
        <v>9</v>
      </c>
      <c r="K33" s="10" t="s">
        <v>17</v>
      </c>
      <c r="L33" s="10">
        <v>78</v>
      </c>
      <c r="M33" s="15">
        <v>9</v>
      </c>
      <c r="N33" s="10"/>
      <c r="O33" s="10"/>
      <c r="P33" s="15"/>
      <c r="Q33" s="10" t="s">
        <v>24</v>
      </c>
      <c r="R33" s="10">
        <v>87</v>
      </c>
      <c r="S33" s="15">
        <v>9</v>
      </c>
      <c r="T33" s="10"/>
      <c r="U33" s="10"/>
      <c r="V33" s="16"/>
      <c r="W33" s="17">
        <f t="shared" si="0"/>
        <v>4</v>
      </c>
      <c r="X33" s="17">
        <f t="shared" si="1"/>
        <v>413</v>
      </c>
      <c r="Y33" s="17">
        <f t="shared" si="2"/>
        <v>36</v>
      </c>
      <c r="Z33" s="18">
        <f t="shared" si="3"/>
        <v>11.472222222222221</v>
      </c>
      <c r="AA33" s="10">
        <f t="shared" si="4"/>
        <v>21</v>
      </c>
    </row>
    <row r="34" spans="1:27" ht="15.75" thickTop="1">
      <c r="A34" s="19">
        <f>SUBTOTAL(3, A4:A33)</f>
        <v>30</v>
      </c>
      <c r="B34" s="19">
        <f>SUBTOTAL(3, B4:B33)</f>
        <v>15</v>
      </c>
      <c r="C34" s="19">
        <f>SUBTOTAL(9, C4:C33)</f>
        <v>1532</v>
      </c>
      <c r="D34" s="20">
        <f>SUBTOTAL(9, D4:D33)</f>
        <v>127</v>
      </c>
      <c r="E34" s="19">
        <f>SUBTOTAL(3, E4:E33)</f>
        <v>14</v>
      </c>
      <c r="F34" s="19">
        <f>SUBTOTAL(9, F4:F33)</f>
        <v>1439</v>
      </c>
      <c r="G34" s="20">
        <f>SUBTOTAL(9, G4:G33)</f>
        <v>118</v>
      </c>
      <c r="H34" s="19">
        <f>SUBTOTAL(3, H4:H33)</f>
        <v>16</v>
      </c>
      <c r="I34" s="19">
        <f>SUBTOTAL(9, I4:I33)</f>
        <v>1624</v>
      </c>
      <c r="J34" s="20">
        <f>SUBTOTAL(9, J4:J33)</f>
        <v>135</v>
      </c>
      <c r="K34" s="19">
        <f>SUBTOTAL(3, K4:K33)</f>
        <v>15</v>
      </c>
      <c r="L34" s="19">
        <f>SUBTOTAL(9, L4:L33)</f>
        <v>1532</v>
      </c>
      <c r="M34" s="20">
        <f>SUBTOTAL(9, M4:M33)</f>
        <v>127</v>
      </c>
      <c r="N34" s="19">
        <f>SUBTOTAL(3, N4:N33)</f>
        <v>15</v>
      </c>
      <c r="O34" s="19">
        <f>SUBTOTAL(9, O4:O33)</f>
        <v>1532</v>
      </c>
      <c r="P34" s="20">
        <f>SUBTOTAL(9, P4:P33)</f>
        <v>127</v>
      </c>
      <c r="Q34" s="19">
        <f>SUBTOTAL(3, Q4:Q33)</f>
        <v>15</v>
      </c>
      <c r="R34" s="19">
        <f>SUBTOTAL(9, R4:R33)</f>
        <v>1532</v>
      </c>
      <c r="S34" s="20">
        <f>SUBTOTAL(9, S4:S33)</f>
        <v>127</v>
      </c>
      <c r="T34" s="19">
        <f>SUBTOTAL(3, T4:T33)</f>
        <v>0</v>
      </c>
      <c r="U34" s="19">
        <f>SUBTOTAL(9, U4:U33)</f>
        <v>0</v>
      </c>
      <c r="V34" s="21">
        <f>SUBTOTAL(9, V4:V33)</f>
        <v>0</v>
      </c>
      <c r="W34" s="19">
        <f t="shared" ref="W34:Y34" si="5">SUBTOTAL(9, W4:W33)</f>
        <v>90</v>
      </c>
      <c r="X34" s="19">
        <f t="shared" si="5"/>
        <v>9191</v>
      </c>
      <c r="Y34" s="19">
        <f t="shared" si="5"/>
        <v>761</v>
      </c>
      <c r="Z34" s="22">
        <f>X34/Y34</f>
        <v>12.077529566360052</v>
      </c>
      <c r="AA34" s="10"/>
    </row>
  </sheetData>
  <autoFilter ref="A3:AA3"/>
  <sortState ref="A4:A33">
    <sortCondition ref="A4:A33"/>
  </sortState>
  <mergeCells count="8">
    <mergeCell ref="W2:AA2"/>
    <mergeCell ref="Q2:S2"/>
    <mergeCell ref="T2:V2"/>
    <mergeCell ref="B2:D2"/>
    <mergeCell ref="E2:G2"/>
    <mergeCell ref="H2:J2"/>
    <mergeCell ref="K2:M2"/>
    <mergeCell ref="N2:P2"/>
  </mergeCell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30"/>
  <sheetViews>
    <sheetView workbookViewId="0"/>
  </sheetViews>
  <sheetFormatPr defaultRowHeight="15"/>
  <sheetData>
    <row r="1" spans="1:1">
      <c r="A1" t="s">
        <v>29</v>
      </c>
    </row>
    <row r="2" spans="1:1">
      <c r="A2" t="s">
        <v>27</v>
      </c>
    </row>
    <row r="3" spans="1:1">
      <c r="A3" t="s">
        <v>31</v>
      </c>
    </row>
    <row r="4" spans="1:1">
      <c r="A4" t="s">
        <v>26</v>
      </c>
    </row>
    <row r="5" spans="1:1">
      <c r="A5" t="s">
        <v>18</v>
      </c>
    </row>
    <row r="6" spans="1:1">
      <c r="A6" t="s">
        <v>22</v>
      </c>
    </row>
    <row r="7" spans="1:1">
      <c r="A7" t="s">
        <v>28</v>
      </c>
    </row>
    <row r="8" spans="1:1">
      <c r="A8" t="s">
        <v>23</v>
      </c>
    </row>
    <row r="9" spans="1:1">
      <c r="A9" t="s">
        <v>25</v>
      </c>
    </row>
    <row r="10" spans="1:1">
      <c r="A10" t="s">
        <v>19</v>
      </c>
    </row>
    <row r="11" spans="1:1">
      <c r="A11" t="s">
        <v>17</v>
      </c>
    </row>
    <row r="12" spans="1:1">
      <c r="A12" t="s">
        <v>21</v>
      </c>
    </row>
    <row r="13" spans="1:1">
      <c r="A13" t="s">
        <v>24</v>
      </c>
    </row>
    <row r="14" spans="1:1">
      <c r="A14" t="s">
        <v>30</v>
      </c>
    </row>
    <row r="15" spans="1:1">
      <c r="A15" t="s">
        <v>20</v>
      </c>
    </row>
    <row r="16" spans="1:1">
      <c r="A16" t="s">
        <v>33</v>
      </c>
    </row>
    <row r="17" spans="1:1">
      <c r="A17" t="s">
        <v>40</v>
      </c>
    </row>
    <row r="18" spans="1:1">
      <c r="A18" t="s">
        <v>36</v>
      </c>
    </row>
    <row r="19" spans="1:1">
      <c r="A19" t="s">
        <v>47</v>
      </c>
    </row>
    <row r="20" spans="1:1">
      <c r="A20" t="s">
        <v>42</v>
      </c>
    </row>
    <row r="21" spans="1:1">
      <c r="A21" t="s">
        <v>39</v>
      </c>
    </row>
    <row r="22" spans="1:1">
      <c r="A22" t="s">
        <v>38</v>
      </c>
    </row>
    <row r="23" spans="1:1">
      <c r="A23" t="s">
        <v>45</v>
      </c>
    </row>
    <row r="24" spans="1:1">
      <c r="A24" t="s">
        <v>43</v>
      </c>
    </row>
    <row r="25" spans="1:1">
      <c r="A25" t="s">
        <v>41</v>
      </c>
    </row>
    <row r="26" spans="1:1">
      <c r="A26" t="s">
        <v>44</v>
      </c>
    </row>
    <row r="27" spans="1:1">
      <c r="A27" t="s">
        <v>37</v>
      </c>
    </row>
    <row r="28" spans="1:1">
      <c r="A28" t="s">
        <v>35</v>
      </c>
    </row>
    <row r="29" spans="1:1">
      <c r="A29" t="s">
        <v>46</v>
      </c>
    </row>
    <row r="30" spans="1:1">
      <c r="A3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Day1</vt:lpstr>
      <vt:lpstr>Day2</vt:lpstr>
      <vt:lpstr>Day3</vt:lpstr>
      <vt:lpstr>Day4</vt:lpstr>
      <vt:lpstr>Day5</vt:lpstr>
      <vt:lpstr>Day6</vt:lpstr>
      <vt:lpstr>Day7</vt:lpstr>
      <vt:lpstr>WeeklyTotals</vt:lpstr>
      <vt:lpstr>CustomSortList</vt:lpstr>
      <vt:lpstr>'Day1'!DateCell</vt:lpstr>
      <vt:lpstr>'Day2'!DateCell</vt:lpstr>
      <vt:lpstr>'Day3'!DateCell</vt:lpstr>
      <vt:lpstr>'Day4'!DateCell</vt:lpstr>
      <vt:lpstr>'Day5'!DateCell</vt:lpstr>
      <vt:lpstr>'Day6'!DateCell</vt:lpstr>
      <vt:lpstr>'Day7'!DateCell</vt:lpstr>
      <vt:lpstr>'Day1'!Driver</vt:lpstr>
      <vt:lpstr>'Day2'!Driver</vt:lpstr>
      <vt:lpstr>'Day3'!Driver</vt:lpstr>
      <vt:lpstr>'Day4'!Driver</vt:lpstr>
      <vt:lpstr>'Day5'!Driver</vt:lpstr>
      <vt:lpstr>'Day6'!Driver</vt:lpstr>
      <vt:lpstr>'Day7'!Driver</vt:lpstr>
      <vt:lpstr>'Day1'!Route</vt:lpstr>
      <vt:lpstr>'Day2'!Route</vt:lpstr>
      <vt:lpstr>'Day3'!Route</vt:lpstr>
      <vt:lpstr>'Day4'!Route</vt:lpstr>
      <vt:lpstr>'Day5'!Route</vt:lpstr>
      <vt:lpstr>'Day6'!Route</vt:lpstr>
      <vt:lpstr>'Day7'!Route</vt:lpstr>
      <vt:lpstr>'Day1'!WeekCell</vt:lpstr>
      <vt:lpstr>'Day1'!YearCell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Ilboo</dc:creator>
  <cp:lastModifiedBy>TOSHIBA WIN10</cp:lastModifiedBy>
  <dcterms:created xsi:type="dcterms:W3CDTF">2018-05-19T14:43:44Z</dcterms:created>
  <dcterms:modified xsi:type="dcterms:W3CDTF">2021-09-24T19:10:22Z</dcterms:modified>
</cp:coreProperties>
</file>